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EPHD AYAME\EPHDA\spad_2026\"/>
    </mc:Choice>
  </mc:AlternateContent>
  <xr:revisionPtr revIDLastSave="0" documentId="13_ncr:1_{D773EBDE-1EEB-49D5-A0D1-4DE3BA1EAB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apitulatif_tirage" sheetId="1" r:id="rId1"/>
    <sheet name="Tirage_Abengourou" sheetId="2" r:id="rId2"/>
    <sheet name="Tirage_Agboville" sheetId="3" r:id="rId3"/>
    <sheet name="Tirage_Yopougon-Ouest Songon" sheetId="4" r:id="rId4"/>
    <sheet name="Tirage_Bondoukou" sheetId="5" r:id="rId5"/>
    <sheet name="Tirage_Mankono" sheetId="6" r:id="rId6"/>
    <sheet name="Tirage_Bouake Nord-Est" sheetId="7" r:id="rId7"/>
    <sheet name="Tirage_Sinematiali" sheetId="9" r:id="rId8"/>
    <sheet name="Tirage_Daloa" sheetId="8" r:id="rId9"/>
    <sheet name="Tirage_Man" sheetId="10" r:id="rId10"/>
    <sheet name="Tirage_Odienne" sheetId="11" r:id="rId11"/>
    <sheet name="Tirage_San Pedro" sheetId="12" r:id="rId12"/>
    <sheet name="Tirage_Tiebissou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5" l="1"/>
  <c r="D20" i="5"/>
  <c r="E19" i="5"/>
  <c r="D19" i="5"/>
  <c r="E18" i="5"/>
  <c r="D18" i="5"/>
  <c r="E17" i="5"/>
  <c r="D17" i="5"/>
  <c r="E16" i="5"/>
  <c r="D16" i="5"/>
  <c r="E10" i="5"/>
  <c r="E9" i="5"/>
  <c r="E7" i="5"/>
  <c r="E6" i="5"/>
  <c r="E4" i="5"/>
  <c r="E2" i="5"/>
</calcChain>
</file>

<file path=xl/sharedStrings.xml><?xml version="1.0" encoding="utf-8"?>
<sst xmlns="http://schemas.openxmlformats.org/spreadsheetml/2006/main" count="734" uniqueCount="214">
  <si>
    <t>District</t>
  </si>
  <si>
    <t>EPH tire</t>
  </si>
  <si>
    <t>CSU tire</t>
  </si>
  <si>
    <t>CSU disponibles</t>
  </si>
  <si>
    <t>CSR tire</t>
  </si>
  <si>
    <t>CSR disponibles</t>
  </si>
  <si>
    <t>ETSA exclues</t>
  </si>
  <si>
    <t>Total tire</t>
  </si>
  <si>
    <t>Cible</t>
  </si>
  <si>
    <t>Observations</t>
  </si>
  <si>
    <t>Abengourou</t>
  </si>
  <si>
    <t>conforme</t>
  </si>
  <si>
    <t>Agboville</t>
  </si>
  <si>
    <t>Yopougon-Ouest Songon</t>
  </si>
  <si>
    <t>Bondoukou</t>
  </si>
  <si>
    <t>2 structures EPH ; EPHR retenue</t>
  </si>
  <si>
    <t>Mankono</t>
  </si>
  <si>
    <t>Bouaké Nord-Est</t>
  </si>
  <si>
    <t>Daloa</t>
  </si>
  <si>
    <t>Sinématiali</t>
  </si>
  <si>
    <t>insuffisance CSU (2/4) -&gt; complete par CSR</t>
  </si>
  <si>
    <t>Man</t>
  </si>
  <si>
    <t>Odienné</t>
  </si>
  <si>
    <t>3 structures EPH ; EPHR retenue</t>
  </si>
  <si>
    <t>San Pedro</t>
  </si>
  <si>
    <t>Tiébissou</t>
  </si>
  <si>
    <t>insuffisance CSU (3/4) -&gt; complete par CSR</t>
  </si>
  <si>
    <t>Note methodologique :</t>
  </si>
  <si>
    <t>- Cible : 1 EPHR/EPHD (ou EPHN) + 4 CSU + 5 CSR = 10 ETSA par district.</t>
  </si>
  <si>
    <t>- Tirage aleatoire simple, seed fixe = 20260713 (reproductible).</t>
  </si>
  <si>
    <t>- Si nombre de CSU disponibles &lt; 4, le deficit est comble par des CSR supplementaires (total = 10 conserve).</t>
  </si>
  <si>
    <t>- Bondoukou, Odienne et San-Pedro disposent de plusieurs structures hospitalieres : l'EPHR a ete retenue dans chaque cas.</t>
  </si>
  <si>
    <t>- Exclues du tirage (non eligibles) : CSUS-SSSU, CSUS/SSSU-SAJ, CSU-I, structures PRIVEE, CSU-DM PRIVE,</t>
  </si>
  <si>
    <t xml:space="preserve">  CSUS-CDV PRIVE, CSU-D CONFESSIONNEL, CSUS-CAT.</t>
  </si>
  <si>
    <t>drs</t>
  </si>
  <si>
    <t>dds</t>
  </si>
  <si>
    <t>etsa</t>
  </si>
  <si>
    <t>Type_ETSA</t>
  </si>
  <si>
    <t>SIG - Nombre de Décès maternels</t>
  </si>
  <si>
    <t>Administration DTC-HepB-Hib1 00-11 mois</t>
  </si>
  <si>
    <t>Administration DTC-HepB-Hib1 12-23 mois</t>
  </si>
  <si>
    <t>Administration DTC-HepB-Hib1 24-59 mois</t>
  </si>
  <si>
    <t>Administration DTC-HepB-Hib2 00-11 mois</t>
  </si>
  <si>
    <t>Administration DTC-HepB-Hib2 12-23 mois</t>
  </si>
  <si>
    <t>Administration DTC-HepB-Hib2 24-59 mois</t>
  </si>
  <si>
    <t>Administration DTC-HepB-Hib3 00-11 mois</t>
  </si>
  <si>
    <t>Administration DTC-HepB-Hib3 12-23 mois</t>
  </si>
  <si>
    <t>Administration DTC-HepB-Hib3 24-59 mois</t>
  </si>
  <si>
    <t>SIG - Nombre de CPN1 au cours du 1er trimestre de la grossesse</t>
  </si>
  <si>
    <t>SIG - Nombre de CPN1 autre trimestre de la grossesse</t>
  </si>
  <si>
    <t>INDENIE-DUABLIN</t>
  </si>
  <si>
    <t>ABENGOUROU</t>
  </si>
  <si>
    <t>EPHR PUBLIC de ABENGOUROU</t>
  </si>
  <si>
    <t>EPH (EPHR/EPHD)</t>
  </si>
  <si>
    <t>CSU-DM PUBLIC de APPOISSO</t>
  </si>
  <si>
    <t>CSU</t>
  </si>
  <si>
    <t>CSU-DM PUBLIC de ANIASSUE</t>
  </si>
  <si>
    <t>CSU-DM PUBLIC de YAKASSE-FEYASSE</t>
  </si>
  <si>
    <t>CSU-DM PUBLIC de ZARANOU</t>
  </si>
  <si>
    <t>CSR-DM PUBLIC de N'GRAKON</t>
  </si>
  <si>
    <t>CSR</t>
  </si>
  <si>
    <t>CSR-DM PUBLIC de ZAMAKA</t>
  </si>
  <si>
    <t>CSR-D PUBLIC de KOUASSI-BENIEKRO</t>
  </si>
  <si>
    <t>CSR-DM PUBLIC de ELINSO</t>
  </si>
  <si>
    <t>CSR-DM PUBLIC de POKOUKRO</t>
  </si>
  <si>
    <t>AGNEBY-TIASSA</t>
  </si>
  <si>
    <t>AGBOVILLE</t>
  </si>
  <si>
    <t>EPHR PUBLIC de AGBOVILLE</t>
  </si>
  <si>
    <t>CSU-DM PUBLIC de GRAND-MORIE</t>
  </si>
  <si>
    <t>CSUS-PMI PUBLIC de AGBOVILLE</t>
  </si>
  <si>
    <t>CSU-DM PUBLIC de ORESS-KROBOU</t>
  </si>
  <si>
    <t>CSU-DM PUBLIC de AZAGUIE</t>
  </si>
  <si>
    <t>CSR-DM PUBLIC de GUESSIGUIE</t>
  </si>
  <si>
    <t>CSR-D PUBLIC de GRAND MOUTCHO</t>
  </si>
  <si>
    <t>CSR-D PUBLIC de M'BROME</t>
  </si>
  <si>
    <t>CSR-DM PUBLIC de GRAND-YAPO</t>
  </si>
  <si>
    <t>CSR-D PUBLIC de ABE-BEGNINI</t>
  </si>
  <si>
    <t>ABIDJAN 1</t>
  </si>
  <si>
    <t>YOPOUGON-OUEST SONGON</t>
  </si>
  <si>
    <t>EPHD PUBLIC de YOPOUGON-ATTIE</t>
  </si>
  <si>
    <t>CSU-DM PUBLIC COMMUNAUTAIRE de YOPOUGON AZITO</t>
  </si>
  <si>
    <t>CSU-DM PUBLIC COMMUNAUTAIRE Niangon Lokoa de YOPOUGON</t>
  </si>
  <si>
    <t>CSU-DM PUBLIC de Songon KASSABLE</t>
  </si>
  <si>
    <t>CSR-DM PUBLIC de SONGON AGBAN</t>
  </si>
  <si>
    <t>CSR-DM PUBLIC de ADIOPODOUME</t>
  </si>
  <si>
    <t>CSR-D PUBLIC de BAGO</t>
  </si>
  <si>
    <t>CSR-DM PUBLIC de ABADJIN-KOUTE</t>
  </si>
  <si>
    <t>CSR-D PUBLIC de KOSSIHOUEN</t>
  </si>
  <si>
    <t>GONTOUGO</t>
  </si>
  <si>
    <t>BONDOUKOU</t>
  </si>
  <si>
    <t>EPHR PUBLIC de BONDOUKOU</t>
  </si>
  <si>
    <t>CSU-DM PUBLIC de SAPLI-SEPINGO</t>
  </si>
  <si>
    <t>CSUS-PMI PUBLIC de BOUDOUKOU</t>
  </si>
  <si>
    <t>CSU-DM PUBLIC de TAOUDI</t>
  </si>
  <si>
    <t>CSU-D PUBLIC de BONDOUKOU</t>
  </si>
  <si>
    <t>CSR-DM PUBLIC de HEREBO</t>
  </si>
  <si>
    <t>CSR-M PUBLIC de DINAOUDI</t>
  </si>
  <si>
    <t>CSR-DM PUBLIC de SONGORI</t>
  </si>
  <si>
    <t>CSR-D PUBLIC de MOTIAMO</t>
  </si>
  <si>
    <t>CSR-D PUBLIC de TAGADI</t>
  </si>
  <si>
    <t>BERE</t>
  </si>
  <si>
    <t>MANKONO</t>
  </si>
  <si>
    <t>EPHD PUBLIC de MANKONO</t>
  </si>
  <si>
    <t>CSU-DM PUBLIC de SARHALA</t>
  </si>
  <si>
    <t>CSUS-PMI PUBLIC DE MANKONO</t>
  </si>
  <si>
    <t>CSU-DM PUBLIC de TIENINGBOUE</t>
  </si>
  <si>
    <t>CSU-DM PUBLIC de BOUANDOUGOU</t>
  </si>
  <si>
    <t>CSR-DM PUBLIC de DANDOUGOU</t>
  </si>
  <si>
    <t>CSR-DM PUBLIC de NINAKIRI</t>
  </si>
  <si>
    <t>CSR-D PUBLIC de KARAMOKOLA</t>
  </si>
  <si>
    <t>CSR-D PUBLIC de MISSIDOUGOU</t>
  </si>
  <si>
    <t>CSR-DM PUBLIC de BIELOU</t>
  </si>
  <si>
    <t>GBEKE</t>
  </si>
  <si>
    <t>BOUAKE NORD-EST</t>
  </si>
  <si>
    <t>EPHR PUBLIC de BOUAKE</t>
  </si>
  <si>
    <t>CSU-DM PUBLIC de BROBO</t>
  </si>
  <si>
    <t>CSUS-PMI PUBLIC de BOUAKE SOKOURA</t>
  </si>
  <si>
    <t>CSU-DM PUBLIC de MINANKRO</t>
  </si>
  <si>
    <t>CSU-DM PUBLIC COMMUNAUTAIRE de KOTIAKOFFIKRO</t>
  </si>
  <si>
    <t>CSR-DM PUBLIC de BOUNDA (s/p de Brobo)</t>
  </si>
  <si>
    <t>CSR-D PUBLIC de SAMINIKRO</t>
  </si>
  <si>
    <t>CSR-DM  PUBLIC de ALLOMANOU</t>
  </si>
  <si>
    <t>CSR-DM PUBLIC de MBRAKRO</t>
  </si>
  <si>
    <t>CSR-D PUBLIC de AKAKRO (s/p Bouaké Nord-Est)</t>
  </si>
  <si>
    <t>HAUT SASSANDRA</t>
  </si>
  <si>
    <t>DALOA</t>
  </si>
  <si>
    <t>EPHR PUBLIC de DALOA</t>
  </si>
  <si>
    <t>CSU-DM PUBLIC de BEDIALA</t>
  </si>
  <si>
    <t>CSUS-PMI PUBLIC de DALOA</t>
  </si>
  <si>
    <t>CSU-DM PUBLIC de GBOGUHE</t>
  </si>
  <si>
    <t>CSR-DM PUBLIC de LUENOUFLA</t>
  </si>
  <si>
    <t>CSR-DM PUBLIC de TCHEBLOGUHE</t>
  </si>
  <si>
    <t>CSR-DM PUBLIC de TAHIRAGUHE</t>
  </si>
  <si>
    <t>CSR-DM PUBLIC de BEGAFLA (GNAMANOU)</t>
  </si>
  <si>
    <t>CSR-DM PUBLIC de DIGBAPIA</t>
  </si>
  <si>
    <t>PORO</t>
  </si>
  <si>
    <t>SINEMATIALI</t>
  </si>
  <si>
    <t>EPHD PUBLIC de SINEMATIALI</t>
  </si>
  <si>
    <t>CSU-DM PUBLIC de POLOUROUKAHA</t>
  </si>
  <si>
    <t>CSU-DM PUBLIC de KAGBOLODOUGOU</t>
  </si>
  <si>
    <t>CSR-DM PUBLIC de TIONGOFOLOKAHA</t>
  </si>
  <si>
    <t>CSR-DM PUBLIC de NOGOFIGUEKAHA</t>
  </si>
  <si>
    <t>CSR-DM PUBLIC de OUOLLO</t>
  </si>
  <si>
    <t>CSR-DM PUBLIC de BAHOUAKAHA</t>
  </si>
  <si>
    <t>CSR-DM PUBLIC de NAKOUROUBELEKAHA</t>
  </si>
  <si>
    <t>CSR-DM PUBLIC de NONGOTIÉNÉKAHA</t>
  </si>
  <si>
    <t>CSR-DM PUBLIC de DABOUNGO</t>
  </si>
  <si>
    <t>TONKPI</t>
  </si>
  <si>
    <t>MAN</t>
  </si>
  <si>
    <t>EPHR PUBLIC de MAN</t>
  </si>
  <si>
    <t>CSU-DM PUBLIC de LOGOUALE</t>
  </si>
  <si>
    <t>CSU-DM PUBLIC de GRAND-GBAPLEU</t>
  </si>
  <si>
    <t>CSUS-PMI PUBLIC de MAN</t>
  </si>
  <si>
    <t>CSU-D PUBLIC Libreville de MAN</t>
  </si>
  <si>
    <t>CSR-D PUBLIC de ZIOGOUINE</t>
  </si>
  <si>
    <t>CSR-D PUBLIC de GONGOUINE 1</t>
  </si>
  <si>
    <t>CSR-D PUBLIC de MLONGOUINE</t>
  </si>
  <si>
    <t>CSR-D PUBLIC de ZAGOUE</t>
  </si>
  <si>
    <t>CSR-D PUBLIC de BOGOUINE 1</t>
  </si>
  <si>
    <t>KABADOUGOU</t>
  </si>
  <si>
    <t>ODIENNE</t>
  </si>
  <si>
    <t>EPHR PUBLIC de ODIENNE</t>
  </si>
  <si>
    <t>CSU-DM PUBLIC de DIOULATIEDOUGOU</t>
  </si>
  <si>
    <t>CSUS-PMI PUBLIC de ODIENNE</t>
  </si>
  <si>
    <t>CSU-DM PUBLIC de SEYDOUGOU</t>
  </si>
  <si>
    <t>CSU-D PUBLIC de YANKAFISSA</t>
  </si>
  <si>
    <t>CSR-D PUBLIC de SARAKORODOUGOU</t>
  </si>
  <si>
    <t>CSR-DM PUBLIC de SOKORODOUGOU</t>
  </si>
  <si>
    <t>CSR-D PUBLIC de ZEGBAO</t>
  </si>
  <si>
    <t>CSR-D PUBLIC de KAHANSO</t>
  </si>
  <si>
    <t>CSR-D PUBLIC de MAMOUROUDOUGOU (S/P BAKO)</t>
  </si>
  <si>
    <t>SAN PEDRO</t>
  </si>
  <si>
    <t>SAN-PEDRO</t>
  </si>
  <si>
    <t>EPHR PUBLIC de SAN-PEDRO (Nouveau)</t>
  </si>
  <si>
    <t>CSU-DM PUBLIC de DOBA</t>
  </si>
  <si>
    <t>CSUS-PMI PUBLIC de SAN-PEDRO</t>
  </si>
  <si>
    <t>CSU-DM PUBLIC de GRAND-BEREBY</t>
  </si>
  <si>
    <t>CSU-DM PUBLIC de DOGBO</t>
  </si>
  <si>
    <t>CSR-DM PUBLIC de NERO BROUSSE</t>
  </si>
  <si>
    <t>CSR-D PUBLIC de GROBONOUDAN</t>
  </si>
  <si>
    <t>CSR-DM PUBLIC de GAGNI</t>
  </si>
  <si>
    <t>CSR-DM PUBLIC de KLOTOU</t>
  </si>
  <si>
    <t>CSR-DM PUBLIC de HEKE VILLAGE</t>
  </si>
  <si>
    <t>BELIER</t>
  </si>
  <si>
    <t>TIEBISSOU</t>
  </si>
  <si>
    <t>EPHD PUBLIC de TIEBISSOU</t>
  </si>
  <si>
    <t>CSU-DM PUBLIC de MOLONOU</t>
  </si>
  <si>
    <t>CSU-DM PUBLIC de YAKPABO-SAKASSOU</t>
  </si>
  <si>
    <t>CSU-DM PUBLIC de LOMOKANKRO</t>
  </si>
  <si>
    <t>CSR-D PUBLIC de TOTOKRO</t>
  </si>
  <si>
    <t>CSR-DM PUBLIC de ATTIENKOFFIKRO</t>
  </si>
  <si>
    <t>CSR-DM PUBLIC de AKOI NDENOU</t>
  </si>
  <si>
    <t>CSR-D PUBLIC de KONDEYAOKRO</t>
  </si>
  <si>
    <t>CSR-D PUBLIC de N'GANGORO-NANANFOUE</t>
  </si>
  <si>
    <t>CSR-D PUBLIC de TAKI SALEKRO</t>
  </si>
  <si>
    <t>CSR-D PUBLIC d' AUDOIN</t>
  </si>
  <si>
    <t>CSU-DM PUBLIC Quartier Garage de DALOA</t>
  </si>
  <si>
    <t>CSU-DM PUBLIC de KOUAKOUKRO-SOKOURA</t>
  </si>
  <si>
    <t>CSR-D PUBLIC de GOUABO</t>
  </si>
  <si>
    <t>CSU-DM PUBLIC de RUBINO</t>
  </si>
  <si>
    <t>CSR-DM PUBLIC de YAPO-GARE</t>
  </si>
  <si>
    <t>CSR-DM PUBLIC de KODJINA</t>
  </si>
  <si>
    <t>CSU-DM YEZIMALA (26 km)</t>
  </si>
  <si>
    <t>CSR-DM PUBLIC KOUASSI-NDAWA (14)</t>
  </si>
  <si>
    <t>CSR-DM PUBLIC de BOROMBA (32 km)</t>
  </si>
  <si>
    <t>Remlacement</t>
  </si>
  <si>
    <t>Binome</t>
  </si>
  <si>
    <t>CSU-DM DE PUBLIC SOKO (20 km)</t>
  </si>
  <si>
    <t>CSR-D PUBLIC de KOBADALLAH</t>
  </si>
  <si>
    <t>CSR-D PUBLIC de DAWARA</t>
  </si>
  <si>
    <t>CSU-DM PUBLIC de BOUAKE BELLE-VILLE</t>
  </si>
  <si>
    <t>CSR-DM PUBLIC de BAMORO</t>
  </si>
  <si>
    <t>CSR-DM PUBLIC de YADIBIKRO</t>
  </si>
  <si>
    <t>CSR-DM PUBLIC de KOITIENKRO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</si>
</sst>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CE6F1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righ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23.140625" customWidth="1"/>
    <col min="2" max="3" width="12" customWidth="1"/>
    <col min="4" max="4" width="16.42578125" customWidth="1"/>
    <col min="5" max="5" width="12" customWidth="1"/>
    <col min="6" max="6" width="16.42578125" customWidth="1"/>
    <col min="7" max="7" width="13.28515625" customWidth="1"/>
    <col min="8" max="9" width="12" customWidth="1"/>
    <col min="10" max="10" width="46.28515625" customWidth="1"/>
  </cols>
  <sheetData>
    <row r="1" spans="1:10" ht="28.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1</v>
      </c>
      <c r="C2" s="3">
        <v>4</v>
      </c>
      <c r="D2" s="3">
        <v>17</v>
      </c>
      <c r="E2" s="3">
        <v>5</v>
      </c>
      <c r="F2" s="3">
        <v>26</v>
      </c>
      <c r="G2" s="3">
        <v>0</v>
      </c>
      <c r="H2" s="3">
        <v>10</v>
      </c>
      <c r="I2" s="3">
        <v>10</v>
      </c>
      <c r="J2" s="3" t="s">
        <v>11</v>
      </c>
    </row>
    <row r="3" spans="1:10" x14ac:dyDescent="0.25">
      <c r="A3" s="4" t="s">
        <v>12</v>
      </c>
      <c r="B3" s="5">
        <v>1</v>
      </c>
      <c r="C3" s="5">
        <v>4</v>
      </c>
      <c r="D3" s="5">
        <v>7</v>
      </c>
      <c r="E3" s="5">
        <v>5</v>
      </c>
      <c r="F3" s="5">
        <v>37</v>
      </c>
      <c r="G3" s="5">
        <v>0</v>
      </c>
      <c r="H3" s="5">
        <v>10</v>
      </c>
      <c r="I3" s="5">
        <v>10</v>
      </c>
      <c r="J3" s="5" t="s">
        <v>11</v>
      </c>
    </row>
    <row r="4" spans="1:10" x14ac:dyDescent="0.25">
      <c r="A4" s="2" t="s">
        <v>13</v>
      </c>
      <c r="B4" s="3">
        <v>1</v>
      </c>
      <c r="C4" s="3">
        <v>4</v>
      </c>
      <c r="D4" s="3">
        <v>4</v>
      </c>
      <c r="E4" s="3">
        <v>5</v>
      </c>
      <c r="F4" s="3">
        <v>6</v>
      </c>
      <c r="G4" s="3">
        <v>3</v>
      </c>
      <c r="H4" s="3">
        <v>10</v>
      </c>
      <c r="I4" s="3">
        <v>10</v>
      </c>
      <c r="J4" s="3" t="s">
        <v>11</v>
      </c>
    </row>
    <row r="5" spans="1:10" x14ac:dyDescent="0.25">
      <c r="A5" s="4" t="s">
        <v>14</v>
      </c>
      <c r="B5" s="5">
        <v>1</v>
      </c>
      <c r="C5" s="5">
        <v>4</v>
      </c>
      <c r="D5" s="5">
        <v>11</v>
      </c>
      <c r="E5" s="5">
        <v>5</v>
      </c>
      <c r="F5" s="5">
        <v>47</v>
      </c>
      <c r="G5" s="5">
        <v>1</v>
      </c>
      <c r="H5" s="5">
        <v>10</v>
      </c>
      <c r="I5" s="5">
        <v>10</v>
      </c>
      <c r="J5" s="5" t="s">
        <v>15</v>
      </c>
    </row>
    <row r="6" spans="1:10" x14ac:dyDescent="0.25">
      <c r="A6" s="2" t="s">
        <v>16</v>
      </c>
      <c r="B6" s="3">
        <v>1</v>
      </c>
      <c r="C6" s="3">
        <v>4</v>
      </c>
      <c r="D6" s="3">
        <v>5</v>
      </c>
      <c r="E6" s="3">
        <v>5</v>
      </c>
      <c r="F6" s="3">
        <v>43</v>
      </c>
      <c r="G6" s="3">
        <v>1</v>
      </c>
      <c r="H6" s="3">
        <v>10</v>
      </c>
      <c r="I6" s="3">
        <v>10</v>
      </c>
      <c r="J6" s="3" t="s">
        <v>11</v>
      </c>
    </row>
    <row r="7" spans="1:10" x14ac:dyDescent="0.25">
      <c r="A7" s="4" t="s">
        <v>17</v>
      </c>
      <c r="B7" s="5">
        <v>1</v>
      </c>
      <c r="C7" s="5">
        <v>4</v>
      </c>
      <c r="D7" s="5">
        <v>7</v>
      </c>
      <c r="E7" s="5">
        <v>5</v>
      </c>
      <c r="F7" s="5">
        <v>10</v>
      </c>
      <c r="G7" s="5">
        <v>2</v>
      </c>
      <c r="H7" s="5">
        <v>10</v>
      </c>
      <c r="I7" s="5">
        <v>10</v>
      </c>
      <c r="J7" s="5" t="s">
        <v>11</v>
      </c>
    </row>
    <row r="8" spans="1:10" x14ac:dyDescent="0.25">
      <c r="A8" s="2" t="s">
        <v>18</v>
      </c>
      <c r="B8" s="3">
        <v>1</v>
      </c>
      <c r="C8" s="3">
        <v>4</v>
      </c>
      <c r="D8" s="3">
        <v>13</v>
      </c>
      <c r="E8" s="3">
        <v>5</v>
      </c>
      <c r="F8" s="3">
        <v>29</v>
      </c>
      <c r="G8" s="3">
        <v>2</v>
      </c>
      <c r="H8" s="3">
        <v>10</v>
      </c>
      <c r="I8" s="3">
        <v>10</v>
      </c>
      <c r="J8" s="3" t="s">
        <v>11</v>
      </c>
    </row>
    <row r="9" spans="1:10" x14ac:dyDescent="0.25">
      <c r="A9" s="4" t="s">
        <v>19</v>
      </c>
      <c r="B9" s="5">
        <v>1</v>
      </c>
      <c r="C9" s="5">
        <v>2</v>
      </c>
      <c r="D9" s="5">
        <v>2</v>
      </c>
      <c r="E9" s="5">
        <v>7</v>
      </c>
      <c r="F9" s="5">
        <v>15</v>
      </c>
      <c r="G9" s="5">
        <v>0</v>
      </c>
      <c r="H9" s="5">
        <v>10</v>
      </c>
      <c r="I9" s="5">
        <v>10</v>
      </c>
      <c r="J9" s="5" t="s">
        <v>20</v>
      </c>
    </row>
    <row r="10" spans="1:10" x14ac:dyDescent="0.25">
      <c r="A10" s="2" t="s">
        <v>21</v>
      </c>
      <c r="B10" s="3">
        <v>1</v>
      </c>
      <c r="C10" s="3">
        <v>4</v>
      </c>
      <c r="D10" s="3">
        <v>8</v>
      </c>
      <c r="E10" s="3">
        <v>5</v>
      </c>
      <c r="F10" s="3">
        <v>36</v>
      </c>
      <c r="G10" s="3">
        <v>1</v>
      </c>
      <c r="H10" s="3">
        <v>10</v>
      </c>
      <c r="I10" s="3">
        <v>10</v>
      </c>
      <c r="J10" s="3" t="s">
        <v>11</v>
      </c>
    </row>
    <row r="11" spans="1:10" x14ac:dyDescent="0.25">
      <c r="A11" s="4" t="s">
        <v>22</v>
      </c>
      <c r="B11" s="5">
        <v>1</v>
      </c>
      <c r="C11" s="5">
        <v>4</v>
      </c>
      <c r="D11" s="5">
        <v>7</v>
      </c>
      <c r="E11" s="5">
        <v>5</v>
      </c>
      <c r="F11" s="5">
        <v>45</v>
      </c>
      <c r="G11" s="5">
        <v>1</v>
      </c>
      <c r="H11" s="5">
        <v>10</v>
      </c>
      <c r="I11" s="5">
        <v>10</v>
      </c>
      <c r="J11" s="5" t="s">
        <v>23</v>
      </c>
    </row>
    <row r="12" spans="1:10" x14ac:dyDescent="0.25">
      <c r="A12" s="2" t="s">
        <v>24</v>
      </c>
      <c r="B12" s="3">
        <v>1</v>
      </c>
      <c r="C12" s="3">
        <v>4</v>
      </c>
      <c r="D12" s="3">
        <v>9</v>
      </c>
      <c r="E12" s="3">
        <v>5</v>
      </c>
      <c r="F12" s="3">
        <v>29</v>
      </c>
      <c r="G12" s="3">
        <v>6</v>
      </c>
      <c r="H12" s="3">
        <v>10</v>
      </c>
      <c r="I12" s="3">
        <v>10</v>
      </c>
      <c r="J12" s="3" t="s">
        <v>15</v>
      </c>
    </row>
    <row r="13" spans="1:10" x14ac:dyDescent="0.25">
      <c r="A13" s="4" t="s">
        <v>25</v>
      </c>
      <c r="B13" s="5">
        <v>1</v>
      </c>
      <c r="C13" s="5">
        <v>3</v>
      </c>
      <c r="D13" s="5">
        <v>3</v>
      </c>
      <c r="E13" s="5">
        <v>6</v>
      </c>
      <c r="F13" s="5">
        <v>28</v>
      </c>
      <c r="G13" s="5">
        <v>0</v>
      </c>
      <c r="H13" s="5">
        <v>10</v>
      </c>
      <c r="I13" s="5">
        <v>10</v>
      </c>
      <c r="J13" s="5" t="s">
        <v>26</v>
      </c>
    </row>
    <row r="15" spans="1:10" x14ac:dyDescent="0.25">
      <c r="A15" s="6" t="s">
        <v>27</v>
      </c>
    </row>
    <row r="16" spans="1:10" x14ac:dyDescent="0.25">
      <c r="A16" s="7" t="s">
        <v>28</v>
      </c>
    </row>
    <row r="17" spans="1:1" x14ac:dyDescent="0.25">
      <c r="A17" s="7" t="s">
        <v>29</v>
      </c>
    </row>
    <row r="18" spans="1:1" x14ac:dyDescent="0.25">
      <c r="A18" s="7" t="s">
        <v>30</v>
      </c>
    </row>
    <row r="19" spans="1:1" x14ac:dyDescent="0.25">
      <c r="A19" s="7" t="s">
        <v>31</v>
      </c>
    </row>
    <row r="20" spans="1:1" x14ac:dyDescent="0.25">
      <c r="A20" s="7" t="s">
        <v>32</v>
      </c>
    </row>
    <row r="21" spans="1:1" x14ac:dyDescent="0.25">
      <c r="A21" s="7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tabSelected="1" topLeftCell="B1" zoomScale="90" zoomScaleNormal="90" workbookViewId="0">
      <pane ySplit="1" topLeftCell="A2" activePane="bottomLeft" state="frozen"/>
      <selection pane="bottomLeft" activeCell="D14" sqref="D14"/>
    </sheetView>
  </sheetViews>
  <sheetFormatPr baseColWidth="10" defaultColWidth="8.7109375" defaultRowHeight="15" x14ac:dyDescent="0.25"/>
  <cols>
    <col min="1" max="1" width="16.42578125" customWidth="1"/>
    <col min="2" max="2" width="15.140625" customWidth="1"/>
    <col min="3" max="3" width="34.140625" bestFit="1" customWidth="1"/>
    <col min="4" max="4" width="16.42578125" customWidth="1"/>
    <col min="5" max="5" width="31.42578125" customWidth="1"/>
    <col min="6" max="6" width="34.140625" customWidth="1"/>
    <col min="7" max="15" width="42.85546875" customWidth="1"/>
    <col min="16" max="17" width="50" customWidth="1"/>
  </cols>
  <sheetData>
    <row r="1" spans="1:17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/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 ht="30" x14ac:dyDescent="0.25">
      <c r="A2" s="2" t="s">
        <v>50</v>
      </c>
      <c r="B2" s="2" t="s">
        <v>51</v>
      </c>
      <c r="C2" s="2" t="s">
        <v>52</v>
      </c>
      <c r="D2" s="2" t="s">
        <v>53</v>
      </c>
      <c r="E2" s="2"/>
      <c r="F2" s="3">
        <v>13</v>
      </c>
      <c r="G2" s="3">
        <v>161</v>
      </c>
      <c r="H2" s="3"/>
      <c r="I2" s="3"/>
      <c r="J2" s="3">
        <v>137</v>
      </c>
      <c r="K2" s="3"/>
      <c r="L2" s="3"/>
      <c r="M2" s="3">
        <v>98</v>
      </c>
      <c r="N2" s="3">
        <v>1</v>
      </c>
      <c r="O2" s="3"/>
      <c r="P2" s="3">
        <v>207</v>
      </c>
      <c r="Q2" s="3">
        <v>457</v>
      </c>
    </row>
    <row r="3" spans="1:17" ht="30" x14ac:dyDescent="0.25">
      <c r="A3" s="4" t="s">
        <v>50</v>
      </c>
      <c r="B3" s="4" t="s">
        <v>51</v>
      </c>
      <c r="C3" s="4" t="s">
        <v>54</v>
      </c>
      <c r="D3" s="4" t="s">
        <v>55</v>
      </c>
      <c r="E3" s="4"/>
      <c r="F3" s="5"/>
      <c r="G3" s="5">
        <v>66</v>
      </c>
      <c r="H3" s="5">
        <v>4</v>
      </c>
      <c r="I3" s="5"/>
      <c r="J3" s="5">
        <v>85</v>
      </c>
      <c r="K3" s="5">
        <v>4</v>
      </c>
      <c r="L3" s="5"/>
      <c r="M3" s="5">
        <v>51</v>
      </c>
      <c r="N3" s="5">
        <v>2</v>
      </c>
      <c r="O3" s="5"/>
      <c r="P3" s="5">
        <v>140</v>
      </c>
      <c r="Q3" s="5">
        <v>371</v>
      </c>
    </row>
    <row r="4" spans="1:17" ht="30" x14ac:dyDescent="0.25">
      <c r="A4" s="2" t="s">
        <v>50</v>
      </c>
      <c r="B4" s="2" t="s">
        <v>51</v>
      </c>
      <c r="C4" s="2" t="s">
        <v>56</v>
      </c>
      <c r="D4" s="2" t="s">
        <v>55</v>
      </c>
      <c r="E4" s="2"/>
      <c r="F4" s="3"/>
      <c r="G4" s="3">
        <v>120</v>
      </c>
      <c r="H4" s="3"/>
      <c r="I4" s="3"/>
      <c r="J4" s="3">
        <v>110</v>
      </c>
      <c r="K4" s="3"/>
      <c r="L4" s="3"/>
      <c r="M4" s="3">
        <v>101</v>
      </c>
      <c r="N4" s="3"/>
      <c r="O4" s="3"/>
      <c r="P4" s="3">
        <v>180</v>
      </c>
      <c r="Q4" s="3">
        <v>586</v>
      </c>
    </row>
    <row r="5" spans="1:17" ht="30" x14ac:dyDescent="0.25">
      <c r="A5" s="4" t="s">
        <v>50</v>
      </c>
      <c r="B5" s="4" t="s">
        <v>51</v>
      </c>
      <c r="C5" s="4" t="s">
        <v>57</v>
      </c>
      <c r="D5" s="4" t="s">
        <v>55</v>
      </c>
      <c r="E5" s="4"/>
      <c r="F5" s="5"/>
      <c r="G5" s="5">
        <v>18</v>
      </c>
      <c r="H5" s="5"/>
      <c r="I5" s="5"/>
      <c r="J5" s="5">
        <v>40</v>
      </c>
      <c r="K5" s="5"/>
      <c r="L5" s="5"/>
      <c r="M5" s="5">
        <v>9</v>
      </c>
      <c r="N5" s="5"/>
      <c r="O5" s="5"/>
      <c r="P5" s="5">
        <v>95</v>
      </c>
      <c r="Q5" s="5">
        <v>153</v>
      </c>
    </row>
    <row r="6" spans="1:17" ht="30" x14ac:dyDescent="0.25">
      <c r="A6" s="2" t="s">
        <v>50</v>
      </c>
      <c r="B6" s="2" t="s">
        <v>51</v>
      </c>
      <c r="C6" s="2" t="s">
        <v>58</v>
      </c>
      <c r="D6" s="2" t="s">
        <v>55</v>
      </c>
      <c r="E6" s="2"/>
      <c r="F6" s="3"/>
      <c r="G6" s="3">
        <v>113</v>
      </c>
      <c r="H6" s="3"/>
      <c r="I6" s="3"/>
      <c r="J6" s="3">
        <v>119</v>
      </c>
      <c r="K6" s="3">
        <v>1</v>
      </c>
      <c r="L6" s="3"/>
      <c r="M6" s="3">
        <v>128</v>
      </c>
      <c r="N6" s="3"/>
      <c r="O6" s="3"/>
      <c r="P6" s="3">
        <v>26</v>
      </c>
      <c r="Q6" s="3">
        <v>467</v>
      </c>
    </row>
    <row r="7" spans="1:17" ht="30" x14ac:dyDescent="0.25">
      <c r="A7" s="4" t="s">
        <v>50</v>
      </c>
      <c r="B7" s="4" t="s">
        <v>51</v>
      </c>
      <c r="C7" s="4" t="s">
        <v>59</v>
      </c>
      <c r="D7" s="4" t="s">
        <v>60</v>
      </c>
      <c r="E7" s="4" t="s">
        <v>201</v>
      </c>
      <c r="F7" s="5"/>
      <c r="G7" s="5"/>
      <c r="H7" s="5"/>
      <c r="I7" s="5"/>
      <c r="J7" s="5"/>
      <c r="K7" s="5"/>
      <c r="L7" s="5"/>
      <c r="M7" s="5"/>
      <c r="N7" s="5"/>
      <c r="O7" s="5"/>
      <c r="P7" s="5">
        <v>4</v>
      </c>
      <c r="Q7" s="5">
        <v>9</v>
      </c>
    </row>
    <row r="8" spans="1:17" ht="30" x14ac:dyDescent="0.25">
      <c r="A8" s="2" t="s">
        <v>50</v>
      </c>
      <c r="B8" s="2" t="s">
        <v>51</v>
      </c>
      <c r="C8" s="2" t="s">
        <v>61</v>
      </c>
      <c r="D8" s="2" t="s">
        <v>60</v>
      </c>
      <c r="E8" s="2"/>
      <c r="F8" s="3"/>
      <c r="G8" s="3">
        <v>63</v>
      </c>
      <c r="H8" s="3"/>
      <c r="I8" s="3"/>
      <c r="J8" s="3">
        <v>48</v>
      </c>
      <c r="K8" s="3"/>
      <c r="L8" s="3"/>
      <c r="M8" s="3">
        <v>55</v>
      </c>
      <c r="N8" s="3"/>
      <c r="O8" s="3"/>
      <c r="P8" s="3">
        <v>101</v>
      </c>
      <c r="Q8" s="3">
        <v>162</v>
      </c>
    </row>
    <row r="9" spans="1:17" ht="30" x14ac:dyDescent="0.25">
      <c r="A9" s="4" t="s">
        <v>50</v>
      </c>
      <c r="B9" s="4" t="s">
        <v>51</v>
      </c>
      <c r="C9" s="4" t="s">
        <v>62</v>
      </c>
      <c r="D9" s="4" t="s">
        <v>60</v>
      </c>
      <c r="E9" s="4"/>
      <c r="F9" s="5"/>
      <c r="G9" s="5">
        <v>22</v>
      </c>
      <c r="H9" s="5"/>
      <c r="I9" s="5"/>
      <c r="J9" s="5">
        <v>16</v>
      </c>
      <c r="K9" s="5"/>
      <c r="L9" s="5"/>
      <c r="M9" s="5">
        <v>15</v>
      </c>
      <c r="N9" s="5"/>
      <c r="O9" s="5"/>
      <c r="P9" s="5">
        <v>14</v>
      </c>
      <c r="Q9" s="5">
        <v>30</v>
      </c>
    </row>
    <row r="10" spans="1:17" ht="30" x14ac:dyDescent="0.25">
      <c r="A10" s="2" t="s">
        <v>50</v>
      </c>
      <c r="B10" s="2" t="s">
        <v>51</v>
      </c>
      <c r="C10" s="2" t="s">
        <v>63</v>
      </c>
      <c r="D10" s="2" t="s">
        <v>60</v>
      </c>
      <c r="E10" s="2"/>
      <c r="F10" s="3"/>
      <c r="G10" s="3">
        <v>42</v>
      </c>
      <c r="H10" s="3"/>
      <c r="I10" s="3"/>
      <c r="J10" s="3">
        <v>41</v>
      </c>
      <c r="K10" s="3"/>
      <c r="L10" s="3"/>
      <c r="M10" s="3">
        <v>50</v>
      </c>
      <c r="N10" s="3">
        <v>2</v>
      </c>
      <c r="O10" s="3"/>
      <c r="P10" s="3">
        <v>57</v>
      </c>
      <c r="Q10" s="3">
        <v>202</v>
      </c>
    </row>
    <row r="11" spans="1:17" ht="30" x14ac:dyDescent="0.25">
      <c r="A11" s="4" t="s">
        <v>50</v>
      </c>
      <c r="B11" s="4" t="s">
        <v>51</v>
      </c>
      <c r="C11" s="4" t="s">
        <v>64</v>
      </c>
      <c r="D11" s="4" t="s">
        <v>60</v>
      </c>
      <c r="E11" s="4" t="s">
        <v>213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7</v>
      </c>
      <c r="Q11" s="5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opLeftCell="C1" zoomScale="90" zoomScaleNormal="90" workbookViewId="0">
      <pane ySplit="1" topLeftCell="A2" activePane="bottomLeft" state="frozen"/>
      <selection pane="bottomLeft" activeCell="E11" sqref="E11"/>
    </sheetView>
  </sheetViews>
  <sheetFormatPr baseColWidth="10" defaultColWidth="8.7109375" defaultRowHeight="15" x14ac:dyDescent="0.25"/>
  <cols>
    <col min="1" max="1" width="14.28515625" customWidth="1"/>
    <col min="2" max="2" width="12" customWidth="1"/>
    <col min="3" max="3" width="31.85546875" customWidth="1"/>
    <col min="4" max="4" width="16.42578125" customWidth="1"/>
    <col min="5" max="5" width="45.28515625" customWidth="1"/>
    <col min="6" max="6" width="34.140625" customWidth="1"/>
    <col min="7" max="15" width="42.85546875" customWidth="1"/>
    <col min="16" max="17" width="50" customWidth="1"/>
  </cols>
  <sheetData>
    <row r="1" spans="1:17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/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 ht="30" x14ac:dyDescent="0.25">
      <c r="A2" s="2" t="s">
        <v>65</v>
      </c>
      <c r="B2" s="2" t="s">
        <v>66</v>
      </c>
      <c r="C2" s="2" t="s">
        <v>67</v>
      </c>
      <c r="D2" s="2" t="s">
        <v>53</v>
      </c>
      <c r="E2" s="2"/>
      <c r="F2" s="3">
        <v>11</v>
      </c>
      <c r="G2" s="3">
        <v>79</v>
      </c>
      <c r="H2" s="3"/>
      <c r="I2" s="3"/>
      <c r="J2" s="3">
        <v>66</v>
      </c>
      <c r="K2" s="3"/>
      <c r="L2" s="3"/>
      <c r="M2" s="3">
        <v>35</v>
      </c>
      <c r="N2" s="3"/>
      <c r="O2" s="3"/>
      <c r="P2" s="3">
        <v>409</v>
      </c>
      <c r="Q2" s="3">
        <v>893</v>
      </c>
    </row>
    <row r="3" spans="1:17" ht="30" x14ac:dyDescent="0.25">
      <c r="A3" s="4" t="s">
        <v>65</v>
      </c>
      <c r="B3" s="4" t="s">
        <v>66</v>
      </c>
      <c r="C3" s="4" t="s">
        <v>68</v>
      </c>
      <c r="D3" s="4" t="s">
        <v>55</v>
      </c>
      <c r="E3" s="4"/>
      <c r="F3" s="5"/>
      <c r="G3" s="5">
        <v>83</v>
      </c>
      <c r="H3" s="5"/>
      <c r="I3" s="5">
        <v>4</v>
      </c>
      <c r="J3" s="5">
        <v>51</v>
      </c>
      <c r="K3" s="5"/>
      <c r="L3" s="5">
        <v>5</v>
      </c>
      <c r="M3" s="5">
        <v>73</v>
      </c>
      <c r="N3" s="5">
        <v>2</v>
      </c>
      <c r="O3" s="5">
        <v>17</v>
      </c>
      <c r="P3" s="5">
        <v>192</v>
      </c>
      <c r="Q3" s="5">
        <v>235</v>
      </c>
    </row>
    <row r="4" spans="1:17" ht="30" x14ac:dyDescent="0.25">
      <c r="A4" s="2" t="s">
        <v>65</v>
      </c>
      <c r="B4" s="2" t="s">
        <v>66</v>
      </c>
      <c r="C4" s="2" t="s">
        <v>69</v>
      </c>
      <c r="D4" s="2" t="s">
        <v>55</v>
      </c>
      <c r="E4" s="2"/>
      <c r="F4" s="3"/>
      <c r="G4" s="3">
        <v>287</v>
      </c>
      <c r="H4" s="3">
        <v>6</v>
      </c>
      <c r="I4" s="3">
        <v>102</v>
      </c>
      <c r="J4" s="3">
        <v>278</v>
      </c>
      <c r="K4" s="3">
        <v>28</v>
      </c>
      <c r="L4" s="3">
        <v>101</v>
      </c>
      <c r="M4" s="3">
        <v>313</v>
      </c>
      <c r="N4" s="3">
        <v>44</v>
      </c>
      <c r="O4" s="3">
        <v>93</v>
      </c>
      <c r="P4" s="3">
        <v>578</v>
      </c>
      <c r="Q4" s="3">
        <v>396</v>
      </c>
    </row>
    <row r="5" spans="1:17" ht="30" x14ac:dyDescent="0.25">
      <c r="A5" s="4" t="s">
        <v>65</v>
      </c>
      <c r="B5" s="4" t="s">
        <v>66</v>
      </c>
      <c r="C5" s="4" t="s">
        <v>70</v>
      </c>
      <c r="D5" s="4" t="s">
        <v>55</v>
      </c>
      <c r="E5" s="4" t="s">
        <v>197</v>
      </c>
      <c r="F5" s="5"/>
      <c r="G5" s="5">
        <v>35</v>
      </c>
      <c r="H5" s="5"/>
      <c r="I5" s="5"/>
      <c r="J5" s="5">
        <v>26</v>
      </c>
      <c r="K5" s="5">
        <v>3</v>
      </c>
      <c r="L5" s="5"/>
      <c r="M5" s="5">
        <v>33</v>
      </c>
      <c r="N5" s="5">
        <v>3</v>
      </c>
      <c r="O5" s="5"/>
      <c r="P5" s="5">
        <v>78</v>
      </c>
      <c r="Q5" s="5">
        <v>145</v>
      </c>
    </row>
    <row r="6" spans="1:17" ht="30" x14ac:dyDescent="0.25">
      <c r="A6" s="2" t="s">
        <v>65</v>
      </c>
      <c r="B6" s="2" t="s">
        <v>66</v>
      </c>
      <c r="C6" s="2" t="s">
        <v>71</v>
      </c>
      <c r="D6" s="2" t="s">
        <v>55</v>
      </c>
      <c r="E6" s="2"/>
      <c r="F6" s="3"/>
      <c r="G6" s="3">
        <v>375</v>
      </c>
      <c r="H6" s="3">
        <v>10</v>
      </c>
      <c r="I6" s="3">
        <v>241</v>
      </c>
      <c r="J6" s="3">
        <v>356</v>
      </c>
      <c r="K6" s="3">
        <v>6</v>
      </c>
      <c r="L6" s="3">
        <v>230</v>
      </c>
      <c r="M6" s="3">
        <v>347</v>
      </c>
      <c r="N6" s="3">
        <v>11</v>
      </c>
      <c r="O6" s="3">
        <v>349</v>
      </c>
      <c r="P6" s="3">
        <v>398</v>
      </c>
      <c r="Q6" s="3">
        <v>625</v>
      </c>
    </row>
    <row r="7" spans="1:17" ht="30" x14ac:dyDescent="0.25">
      <c r="A7" s="4" t="s">
        <v>65</v>
      </c>
      <c r="B7" s="4" t="s">
        <v>66</v>
      </c>
      <c r="C7" s="4" t="s">
        <v>72</v>
      </c>
      <c r="D7" s="4" t="s">
        <v>60</v>
      </c>
      <c r="E7" s="4" t="s">
        <v>199</v>
      </c>
      <c r="F7" s="5"/>
      <c r="G7" s="5">
        <v>27</v>
      </c>
      <c r="H7" s="5"/>
      <c r="I7" s="5">
        <v>4</v>
      </c>
      <c r="J7" s="5">
        <v>43</v>
      </c>
      <c r="K7" s="5"/>
      <c r="L7" s="5">
        <v>2</v>
      </c>
      <c r="M7" s="5">
        <v>36</v>
      </c>
      <c r="N7" s="5">
        <v>1</v>
      </c>
      <c r="O7" s="5"/>
      <c r="P7" s="5">
        <v>137</v>
      </c>
      <c r="Q7" s="5">
        <v>98</v>
      </c>
    </row>
    <row r="8" spans="1:17" ht="30" x14ac:dyDescent="0.25">
      <c r="A8" s="2" t="s">
        <v>65</v>
      </c>
      <c r="B8" s="2" t="s">
        <v>66</v>
      </c>
      <c r="C8" s="2" t="s">
        <v>73</v>
      </c>
      <c r="D8" s="2" t="s">
        <v>60</v>
      </c>
      <c r="E8" s="2"/>
      <c r="F8" s="3"/>
      <c r="G8" s="3">
        <v>86</v>
      </c>
      <c r="H8" s="3">
        <v>28</v>
      </c>
      <c r="I8" s="3"/>
      <c r="J8" s="3">
        <v>78</v>
      </c>
      <c r="K8" s="3">
        <v>8</v>
      </c>
      <c r="L8" s="3"/>
      <c r="M8" s="3">
        <v>77</v>
      </c>
      <c r="N8" s="3">
        <v>14</v>
      </c>
      <c r="O8" s="3"/>
      <c r="P8" s="3">
        <v>143</v>
      </c>
      <c r="Q8" s="3">
        <v>94</v>
      </c>
    </row>
    <row r="9" spans="1:17" ht="30" x14ac:dyDescent="0.25">
      <c r="A9" s="4" t="s">
        <v>65</v>
      </c>
      <c r="B9" s="4" t="s">
        <v>66</v>
      </c>
      <c r="C9" s="4" t="s">
        <v>74</v>
      </c>
      <c r="D9" s="4" t="s">
        <v>60</v>
      </c>
      <c r="E9" s="4" t="s">
        <v>198</v>
      </c>
      <c r="F9" s="5"/>
      <c r="G9" s="5">
        <v>15</v>
      </c>
      <c r="H9" s="5">
        <v>10</v>
      </c>
      <c r="I9" s="5"/>
      <c r="J9" s="5"/>
      <c r="K9" s="5"/>
      <c r="L9" s="5"/>
      <c r="M9" s="5">
        <v>11</v>
      </c>
      <c r="N9" s="5"/>
      <c r="O9" s="5"/>
      <c r="P9" s="5">
        <v>70</v>
      </c>
      <c r="Q9" s="5">
        <v>31</v>
      </c>
    </row>
    <row r="10" spans="1:17" ht="30" x14ac:dyDescent="0.25">
      <c r="A10" s="2" t="s">
        <v>65</v>
      </c>
      <c r="B10" s="2" t="s">
        <v>66</v>
      </c>
      <c r="C10" s="2" t="s">
        <v>75</v>
      </c>
      <c r="D10" s="2" t="s">
        <v>60</v>
      </c>
      <c r="E10" s="2"/>
      <c r="F10" s="3"/>
      <c r="G10" s="3">
        <v>74</v>
      </c>
      <c r="H10" s="3"/>
      <c r="I10" s="3"/>
      <c r="J10" s="3">
        <v>84</v>
      </c>
      <c r="K10" s="3"/>
      <c r="L10" s="3"/>
      <c r="M10" s="3">
        <v>101</v>
      </c>
      <c r="N10" s="3"/>
      <c r="O10" s="3"/>
      <c r="P10" s="3">
        <v>190</v>
      </c>
      <c r="Q10" s="3">
        <v>133</v>
      </c>
    </row>
    <row r="11" spans="1:17" ht="30" x14ac:dyDescent="0.25">
      <c r="A11" s="4" t="s">
        <v>65</v>
      </c>
      <c r="B11" s="4" t="s">
        <v>66</v>
      </c>
      <c r="C11" s="4" t="s">
        <v>76</v>
      </c>
      <c r="D11" s="4" t="s">
        <v>60</v>
      </c>
      <c r="E11" s="4" t="s">
        <v>200</v>
      </c>
      <c r="F11" s="5"/>
      <c r="G11" s="5">
        <v>75</v>
      </c>
      <c r="H11" s="5"/>
      <c r="I11" s="5">
        <v>23</v>
      </c>
      <c r="J11" s="5">
        <v>70</v>
      </c>
      <c r="K11" s="5"/>
      <c r="L11" s="5">
        <v>32</v>
      </c>
      <c r="M11" s="5">
        <v>69</v>
      </c>
      <c r="N11" s="5"/>
      <c r="O11" s="5">
        <v>42</v>
      </c>
      <c r="P11" s="5">
        <v>92</v>
      </c>
      <c r="Q11" s="5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>
      <pane ySplit="1" topLeftCell="A2" activePane="bottomLeft" state="frozen"/>
      <selection pane="bottomLeft" activeCell="C8" sqref="C8"/>
    </sheetView>
  </sheetViews>
  <sheetFormatPr baseColWidth="10" defaultColWidth="8.7109375" defaultRowHeight="15" x14ac:dyDescent="0.25"/>
  <cols>
    <col min="1" max="1" width="12" customWidth="1"/>
    <col min="2" max="2" width="23.140625" customWidth="1"/>
    <col min="3" max="3" width="50" customWidth="1"/>
    <col min="4" max="4" width="16.42578125" customWidth="1"/>
    <col min="5" max="5" width="34.140625" customWidth="1"/>
    <col min="6" max="14" width="42.85546875" customWidth="1"/>
    <col min="15" max="16" width="50" customWidth="1"/>
  </cols>
  <sheetData>
    <row r="1" spans="1:16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30" x14ac:dyDescent="0.25">
      <c r="A2" s="2" t="s">
        <v>77</v>
      </c>
      <c r="B2" s="2" t="s">
        <v>78</v>
      </c>
      <c r="C2" s="2" t="s">
        <v>79</v>
      </c>
      <c r="D2" s="2" t="s">
        <v>53</v>
      </c>
      <c r="E2" s="3">
        <v>33</v>
      </c>
      <c r="F2" s="3">
        <v>622</v>
      </c>
      <c r="G2" s="3">
        <v>6</v>
      </c>
      <c r="H2" s="3">
        <v>1</v>
      </c>
      <c r="I2" s="3">
        <v>636</v>
      </c>
      <c r="J2" s="3">
        <v>5</v>
      </c>
      <c r="K2" s="3"/>
      <c r="L2" s="3">
        <v>554</v>
      </c>
      <c r="M2" s="3">
        <v>5</v>
      </c>
      <c r="N2" s="3">
        <v>3</v>
      </c>
      <c r="O2" s="3">
        <v>1106</v>
      </c>
      <c r="P2" s="3">
        <v>2194</v>
      </c>
    </row>
    <row r="3" spans="1:16" ht="30" x14ac:dyDescent="0.25">
      <c r="A3" s="4" t="s">
        <v>77</v>
      </c>
      <c r="B3" s="4" t="s">
        <v>78</v>
      </c>
      <c r="C3" s="4" t="s">
        <v>81</v>
      </c>
      <c r="D3" s="4" t="s">
        <v>55</v>
      </c>
      <c r="E3" s="5"/>
      <c r="F3" s="5">
        <v>158</v>
      </c>
      <c r="G3" s="5"/>
      <c r="H3" s="5"/>
      <c r="I3" s="5">
        <v>158</v>
      </c>
      <c r="J3" s="5">
        <v>4</v>
      </c>
      <c r="K3" s="5">
        <v>1</v>
      </c>
      <c r="L3" s="5">
        <v>144</v>
      </c>
      <c r="M3" s="5">
        <v>4</v>
      </c>
      <c r="N3" s="5">
        <v>4</v>
      </c>
      <c r="O3" s="5">
        <v>367</v>
      </c>
      <c r="P3" s="5">
        <v>745</v>
      </c>
    </row>
    <row r="4" spans="1:16" ht="30" x14ac:dyDescent="0.25">
      <c r="A4" s="2" t="s">
        <v>77</v>
      </c>
      <c r="B4" s="2" t="s">
        <v>78</v>
      </c>
      <c r="C4" s="2" t="s">
        <v>80</v>
      </c>
      <c r="D4" s="2" t="s">
        <v>55</v>
      </c>
      <c r="E4" s="3"/>
      <c r="F4" s="3">
        <v>262</v>
      </c>
      <c r="G4" s="3"/>
      <c r="H4" s="3">
        <v>2</v>
      </c>
      <c r="I4" s="3">
        <v>181</v>
      </c>
      <c r="J4" s="3"/>
      <c r="K4" s="3">
        <v>1</v>
      </c>
      <c r="L4" s="3">
        <v>188</v>
      </c>
      <c r="M4" s="3">
        <v>2</v>
      </c>
      <c r="N4" s="3">
        <v>3</v>
      </c>
      <c r="O4" s="3">
        <v>880</v>
      </c>
      <c r="P4" s="3">
        <v>940</v>
      </c>
    </row>
    <row r="5" spans="1:16" ht="30" x14ac:dyDescent="0.25">
      <c r="A5" s="4" t="s">
        <v>77</v>
      </c>
      <c r="B5" s="4" t="s">
        <v>78</v>
      </c>
      <c r="C5" s="4" t="s">
        <v>82</v>
      </c>
      <c r="D5" s="4" t="s">
        <v>55</v>
      </c>
      <c r="E5" s="5"/>
      <c r="F5" s="5">
        <v>595</v>
      </c>
      <c r="G5" s="5"/>
      <c r="H5" s="5"/>
      <c r="I5" s="5">
        <v>561</v>
      </c>
      <c r="J5" s="5"/>
      <c r="K5" s="5"/>
      <c r="L5" s="5">
        <v>477</v>
      </c>
      <c r="M5" s="5">
        <v>1</v>
      </c>
      <c r="N5" s="5"/>
      <c r="O5" s="5">
        <v>1262</v>
      </c>
      <c r="P5" s="5">
        <v>334</v>
      </c>
    </row>
    <row r="6" spans="1:16" ht="30" x14ac:dyDescent="0.25">
      <c r="A6" s="2" t="s">
        <v>77</v>
      </c>
      <c r="B6" s="2" t="s">
        <v>78</v>
      </c>
      <c r="C6" s="2" t="s">
        <v>195</v>
      </c>
      <c r="D6" s="2" t="s">
        <v>55</v>
      </c>
      <c r="E6" s="3">
        <v>1</v>
      </c>
      <c r="F6" s="3">
        <v>288</v>
      </c>
      <c r="G6" s="3">
        <v>2</v>
      </c>
      <c r="H6" s="3">
        <v>3</v>
      </c>
      <c r="I6" s="3">
        <v>262</v>
      </c>
      <c r="J6" s="3"/>
      <c r="K6" s="3"/>
      <c r="L6" s="3">
        <v>239</v>
      </c>
      <c r="M6" s="3">
        <v>4</v>
      </c>
      <c r="N6" s="3">
        <v>4</v>
      </c>
      <c r="O6" s="3">
        <v>491</v>
      </c>
      <c r="P6" s="3">
        <v>1116</v>
      </c>
    </row>
    <row r="7" spans="1:16" ht="30" x14ac:dyDescent="0.25">
      <c r="A7" s="4" t="s">
        <v>77</v>
      </c>
      <c r="B7" s="4" t="s">
        <v>78</v>
      </c>
      <c r="C7" s="4" t="s">
        <v>85</v>
      </c>
      <c r="D7" s="4" t="s">
        <v>60</v>
      </c>
      <c r="E7" s="5"/>
      <c r="F7" s="5">
        <v>108</v>
      </c>
      <c r="G7" s="5"/>
      <c r="H7" s="5"/>
      <c r="I7" s="5">
        <v>332</v>
      </c>
      <c r="J7" s="5">
        <v>3</v>
      </c>
      <c r="K7" s="5"/>
      <c r="L7" s="5">
        <v>340</v>
      </c>
      <c r="M7" s="5">
        <v>12</v>
      </c>
      <c r="N7" s="5"/>
      <c r="O7" s="5">
        <v>361</v>
      </c>
      <c r="P7" s="5">
        <v>550</v>
      </c>
    </row>
    <row r="8" spans="1:16" ht="30" x14ac:dyDescent="0.25">
      <c r="A8" s="2" t="s">
        <v>77</v>
      </c>
      <c r="B8" s="2" t="s">
        <v>78</v>
      </c>
      <c r="C8" s="2" t="s">
        <v>87</v>
      </c>
      <c r="D8" s="2" t="s">
        <v>60</v>
      </c>
      <c r="E8" s="3"/>
      <c r="F8" s="3">
        <v>104</v>
      </c>
      <c r="G8" s="3">
        <v>8</v>
      </c>
      <c r="H8" s="3"/>
      <c r="I8" s="3">
        <v>156</v>
      </c>
      <c r="J8" s="3">
        <v>20</v>
      </c>
      <c r="K8" s="3"/>
      <c r="L8" s="3">
        <v>124</v>
      </c>
      <c r="M8" s="3">
        <v>48</v>
      </c>
      <c r="N8" s="3"/>
      <c r="O8" s="3">
        <v>253</v>
      </c>
      <c r="P8" s="3">
        <v>400</v>
      </c>
    </row>
    <row r="9" spans="1:16" ht="30" x14ac:dyDescent="0.25">
      <c r="A9" s="4" t="s">
        <v>77</v>
      </c>
      <c r="B9" s="4" t="s">
        <v>78</v>
      </c>
      <c r="C9" s="4" t="s">
        <v>86</v>
      </c>
      <c r="D9" s="4" t="s">
        <v>60</v>
      </c>
      <c r="E9" s="5"/>
      <c r="F9" s="5">
        <v>19</v>
      </c>
      <c r="G9" s="5"/>
      <c r="H9" s="5"/>
      <c r="I9" s="5">
        <v>18</v>
      </c>
      <c r="J9" s="5"/>
      <c r="K9" s="5"/>
      <c r="L9" s="5">
        <v>40</v>
      </c>
      <c r="M9" s="5"/>
      <c r="N9" s="5"/>
      <c r="O9" s="5">
        <v>43</v>
      </c>
      <c r="P9" s="5">
        <v>65</v>
      </c>
    </row>
    <row r="10" spans="1:16" ht="30" x14ac:dyDescent="0.25">
      <c r="A10" s="2" t="s">
        <v>77</v>
      </c>
      <c r="B10" s="2" t="s">
        <v>78</v>
      </c>
      <c r="C10" s="2" t="s">
        <v>84</v>
      </c>
      <c r="D10" s="2" t="s">
        <v>60</v>
      </c>
      <c r="E10" s="3"/>
      <c r="F10" s="3">
        <v>104</v>
      </c>
      <c r="G10" s="3"/>
      <c r="H10" s="3"/>
      <c r="I10" s="3">
        <v>101</v>
      </c>
      <c r="J10" s="3">
        <v>13</v>
      </c>
      <c r="K10" s="3"/>
      <c r="L10" s="3">
        <v>108</v>
      </c>
      <c r="M10" s="3">
        <v>38</v>
      </c>
      <c r="N10" s="3">
        <v>2</v>
      </c>
      <c r="O10" s="3">
        <v>123</v>
      </c>
      <c r="P10" s="3">
        <v>436</v>
      </c>
    </row>
    <row r="11" spans="1:16" ht="30" x14ac:dyDescent="0.25">
      <c r="A11" s="4" t="s">
        <v>77</v>
      </c>
      <c r="B11" s="4" t="s">
        <v>78</v>
      </c>
      <c r="C11" s="4" t="s">
        <v>83</v>
      </c>
      <c r="D11" s="4" t="s">
        <v>60</v>
      </c>
      <c r="E11" s="5"/>
      <c r="F11" s="5">
        <v>102</v>
      </c>
      <c r="G11" s="5">
        <v>6</v>
      </c>
      <c r="H11" s="5"/>
      <c r="I11" s="5">
        <v>132</v>
      </c>
      <c r="J11" s="5">
        <v>16</v>
      </c>
      <c r="K11" s="5">
        <v>1</v>
      </c>
      <c r="L11" s="5">
        <v>102</v>
      </c>
      <c r="M11" s="5">
        <v>23</v>
      </c>
      <c r="N11" s="5"/>
      <c r="O11" s="5">
        <v>243</v>
      </c>
      <c r="P11" s="5">
        <v>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"/>
  <sheetViews>
    <sheetView topLeftCell="C1" zoomScale="90" zoomScaleNormal="90" workbookViewId="0">
      <pane ySplit="1" topLeftCell="A2" activePane="bottomLeft" state="frozen"/>
      <selection pane="bottomLeft" activeCell="E11" sqref="E11"/>
    </sheetView>
  </sheetViews>
  <sheetFormatPr baseColWidth="10" defaultColWidth="8.7109375" defaultRowHeight="15" x14ac:dyDescent="0.25"/>
  <cols>
    <col min="1" max="2" width="12" customWidth="1"/>
    <col min="3" max="3" width="33" customWidth="1"/>
    <col min="4" max="4" width="24.140625" customWidth="1"/>
    <col min="5" max="5" width="36.7109375" customWidth="1"/>
    <col min="6" max="6" width="34.140625" customWidth="1"/>
    <col min="7" max="15" width="42.85546875" customWidth="1"/>
    <col min="16" max="17" width="50" customWidth="1"/>
  </cols>
  <sheetData>
    <row r="1" spans="1:17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205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 ht="30" x14ac:dyDescent="0.25">
      <c r="A2" s="2" t="s">
        <v>88</v>
      </c>
      <c r="B2" s="2" t="s">
        <v>89</v>
      </c>
      <c r="C2" s="2" t="s">
        <v>90</v>
      </c>
      <c r="D2" s="2" t="s">
        <v>53</v>
      </c>
      <c r="E2" s="2" t="str">
        <f>C2</f>
        <v>EPHR PUBLIC de BONDOUKOU</v>
      </c>
      <c r="F2" s="3">
        <v>13</v>
      </c>
      <c r="G2" s="3">
        <v>145</v>
      </c>
      <c r="H2" s="3">
        <v>10</v>
      </c>
      <c r="I2" s="3"/>
      <c r="J2" s="3">
        <v>94</v>
      </c>
      <c r="K2" s="3">
        <v>9</v>
      </c>
      <c r="L2" s="3"/>
      <c r="M2" s="3">
        <v>100</v>
      </c>
      <c r="N2" s="3">
        <v>6</v>
      </c>
      <c r="O2" s="3"/>
      <c r="P2" s="3">
        <v>337</v>
      </c>
      <c r="Q2" s="3">
        <v>1085</v>
      </c>
    </row>
    <row r="3" spans="1:17" ht="30" x14ac:dyDescent="0.25">
      <c r="A3" s="4" t="s">
        <v>88</v>
      </c>
      <c r="B3" s="4" t="s">
        <v>89</v>
      </c>
      <c r="C3" s="4" t="s">
        <v>91</v>
      </c>
      <c r="D3" s="4" t="s">
        <v>55</v>
      </c>
      <c r="E3" s="8" t="s">
        <v>202</v>
      </c>
      <c r="F3" s="5"/>
      <c r="G3" s="5">
        <v>118</v>
      </c>
      <c r="H3" s="5"/>
      <c r="I3" s="5"/>
      <c r="J3" s="5">
        <v>118</v>
      </c>
      <c r="K3" s="5"/>
      <c r="L3" s="5"/>
      <c r="M3" s="5">
        <v>212</v>
      </c>
      <c r="N3" s="5"/>
      <c r="O3" s="5"/>
      <c r="P3" s="5">
        <v>49</v>
      </c>
      <c r="Q3" s="5">
        <v>140</v>
      </c>
    </row>
    <row r="4" spans="1:17" ht="30" x14ac:dyDescent="0.25">
      <c r="A4" s="2" t="s">
        <v>88</v>
      </c>
      <c r="B4" s="2" t="s">
        <v>89</v>
      </c>
      <c r="C4" s="2" t="s">
        <v>92</v>
      </c>
      <c r="D4" s="2" t="s">
        <v>55</v>
      </c>
      <c r="E4" s="2" t="str">
        <f>C4</f>
        <v>CSUS-PMI PUBLIC de BOUDOUKOU</v>
      </c>
      <c r="F4" s="3"/>
      <c r="G4" s="3">
        <v>147</v>
      </c>
      <c r="H4" s="3">
        <v>36</v>
      </c>
      <c r="I4" s="3">
        <v>21</v>
      </c>
      <c r="J4" s="3">
        <v>156</v>
      </c>
      <c r="K4" s="3">
        <v>32</v>
      </c>
      <c r="L4" s="3">
        <v>14</v>
      </c>
      <c r="M4" s="3">
        <v>279</v>
      </c>
      <c r="N4" s="3">
        <v>94</v>
      </c>
      <c r="O4" s="3">
        <v>46</v>
      </c>
      <c r="P4" s="3">
        <v>217</v>
      </c>
      <c r="Q4" s="3">
        <v>696</v>
      </c>
    </row>
    <row r="5" spans="1:17" ht="30" x14ac:dyDescent="0.25">
      <c r="A5" s="4" t="s">
        <v>88</v>
      </c>
      <c r="B5" s="4" t="s">
        <v>89</v>
      </c>
      <c r="C5" s="4" t="s">
        <v>93</v>
      </c>
      <c r="D5" s="4" t="s">
        <v>55</v>
      </c>
      <c r="E5" s="9" t="s">
        <v>207</v>
      </c>
      <c r="F5" s="5"/>
      <c r="G5" s="5">
        <v>106</v>
      </c>
      <c r="H5" s="5">
        <v>12</v>
      </c>
      <c r="I5" s="5"/>
      <c r="J5" s="5">
        <v>17</v>
      </c>
      <c r="K5" s="5">
        <v>6</v>
      </c>
      <c r="L5" s="5"/>
      <c r="M5" s="5">
        <v>115</v>
      </c>
      <c r="N5" s="5">
        <v>27</v>
      </c>
      <c r="O5" s="5">
        <v>1</v>
      </c>
      <c r="P5" s="5">
        <v>60</v>
      </c>
      <c r="Q5" s="5">
        <v>221</v>
      </c>
    </row>
    <row r="6" spans="1:17" ht="30" x14ac:dyDescent="0.25">
      <c r="A6" s="2" t="s">
        <v>88</v>
      </c>
      <c r="B6" s="2" t="s">
        <v>89</v>
      </c>
      <c r="C6" s="2" t="s">
        <v>94</v>
      </c>
      <c r="D6" s="2" t="s">
        <v>55</v>
      </c>
      <c r="E6" s="2" t="str">
        <f>+C6</f>
        <v>CSU-D PUBLIC de BONDOUKOU</v>
      </c>
      <c r="F6" s="3"/>
      <c r="G6" s="3"/>
      <c r="H6" s="3"/>
      <c r="I6" s="3">
        <v>20</v>
      </c>
      <c r="J6" s="3"/>
      <c r="K6" s="3"/>
      <c r="L6" s="3"/>
      <c r="M6" s="3">
        <v>2</v>
      </c>
      <c r="N6" s="3"/>
      <c r="O6" s="3">
        <v>1</v>
      </c>
      <c r="P6" s="3">
        <v>25</v>
      </c>
      <c r="Q6" s="3">
        <v>23</v>
      </c>
    </row>
    <row r="7" spans="1:17" ht="30" x14ac:dyDescent="0.25">
      <c r="A7" s="4" t="s">
        <v>88</v>
      </c>
      <c r="B7" s="4" t="s">
        <v>89</v>
      </c>
      <c r="C7" s="4" t="s">
        <v>95</v>
      </c>
      <c r="D7" s="4" t="s">
        <v>60</v>
      </c>
      <c r="E7" s="4" t="str">
        <f>C7</f>
        <v>CSR-DM PUBLIC de HEREBO</v>
      </c>
      <c r="F7" s="5"/>
      <c r="G7" s="5">
        <v>23</v>
      </c>
      <c r="H7" s="5"/>
      <c r="I7" s="5"/>
      <c r="J7" s="5">
        <v>18</v>
      </c>
      <c r="K7" s="5">
        <v>1</v>
      </c>
      <c r="L7" s="5"/>
      <c r="M7" s="5">
        <v>27</v>
      </c>
      <c r="N7" s="5"/>
      <c r="O7" s="5">
        <v>2</v>
      </c>
      <c r="P7" s="5">
        <v>18</v>
      </c>
      <c r="Q7" s="5">
        <v>79</v>
      </c>
    </row>
    <row r="8" spans="1:17" ht="30" x14ac:dyDescent="0.25">
      <c r="A8" s="2" t="s">
        <v>88</v>
      </c>
      <c r="B8" s="2" t="s">
        <v>89</v>
      </c>
      <c r="C8" s="2" t="s">
        <v>96</v>
      </c>
      <c r="D8" s="2" t="s">
        <v>60</v>
      </c>
      <c r="E8" s="10" t="s">
        <v>203</v>
      </c>
      <c r="F8" s="3"/>
      <c r="G8" s="3">
        <v>49</v>
      </c>
      <c r="H8" s="3"/>
      <c r="I8" s="3"/>
      <c r="J8" s="3">
        <v>48</v>
      </c>
      <c r="K8" s="3">
        <v>6</v>
      </c>
      <c r="L8" s="3"/>
      <c r="M8" s="3">
        <v>60</v>
      </c>
      <c r="N8" s="3">
        <v>8</v>
      </c>
      <c r="O8" s="3"/>
      <c r="P8" s="3">
        <v>95</v>
      </c>
      <c r="Q8" s="3">
        <v>178</v>
      </c>
    </row>
    <row r="9" spans="1:17" ht="30" x14ac:dyDescent="0.25">
      <c r="A9" s="4" t="s">
        <v>88</v>
      </c>
      <c r="B9" s="4" t="s">
        <v>89</v>
      </c>
      <c r="C9" s="4" t="s">
        <v>97</v>
      </c>
      <c r="D9" s="4" t="s">
        <v>60</v>
      </c>
      <c r="E9" s="4" t="str">
        <f>C9</f>
        <v>CSR-DM PUBLIC de SONGORI</v>
      </c>
      <c r="F9" s="5"/>
      <c r="G9" s="5">
        <v>16</v>
      </c>
      <c r="H9" s="5"/>
      <c r="I9" s="5"/>
      <c r="J9" s="5">
        <v>12</v>
      </c>
      <c r="K9" s="5"/>
      <c r="L9" s="5"/>
      <c r="M9" s="5">
        <v>4</v>
      </c>
      <c r="N9" s="5"/>
      <c r="O9" s="5"/>
      <c r="P9" s="5">
        <v>16</v>
      </c>
      <c r="Q9" s="5">
        <v>37</v>
      </c>
    </row>
    <row r="10" spans="1:17" ht="30" x14ac:dyDescent="0.25">
      <c r="A10" s="2" t="s">
        <v>88</v>
      </c>
      <c r="B10" s="2" t="s">
        <v>89</v>
      </c>
      <c r="C10" s="2" t="s">
        <v>98</v>
      </c>
      <c r="D10" s="2" t="s">
        <v>60</v>
      </c>
      <c r="E10" s="2" t="str">
        <f>C10</f>
        <v>CSR-D PUBLIC de MOTIAMO</v>
      </c>
      <c r="F10" s="3"/>
      <c r="G10" s="3">
        <v>8</v>
      </c>
      <c r="H10" s="3"/>
      <c r="I10" s="3"/>
      <c r="J10" s="3">
        <v>1</v>
      </c>
      <c r="K10" s="3"/>
      <c r="L10" s="3"/>
      <c r="M10" s="3">
        <v>12</v>
      </c>
      <c r="N10" s="3"/>
      <c r="O10" s="3">
        <v>2</v>
      </c>
      <c r="P10" s="3">
        <v>6</v>
      </c>
      <c r="Q10" s="3">
        <v>14</v>
      </c>
    </row>
    <row r="11" spans="1:17" ht="30" x14ac:dyDescent="0.25">
      <c r="A11" s="4" t="s">
        <v>88</v>
      </c>
      <c r="B11" s="4" t="s">
        <v>89</v>
      </c>
      <c r="C11" s="4" t="s">
        <v>99</v>
      </c>
      <c r="D11" s="4" t="s">
        <v>60</v>
      </c>
      <c r="E11" s="9" t="s">
        <v>204</v>
      </c>
      <c r="F11" s="5"/>
      <c r="G11" s="5">
        <v>36</v>
      </c>
      <c r="H11" s="5"/>
      <c r="I11" s="5"/>
      <c r="J11" s="5">
        <v>19</v>
      </c>
      <c r="K11" s="5">
        <v>1</v>
      </c>
      <c r="L11" s="5">
        <v>1</v>
      </c>
      <c r="M11" s="5">
        <v>31</v>
      </c>
      <c r="N11" s="5">
        <v>4</v>
      </c>
      <c r="O11" s="5">
        <v>1</v>
      </c>
      <c r="P11" s="5">
        <v>215</v>
      </c>
      <c r="Q11" s="5">
        <v>259</v>
      </c>
    </row>
    <row r="16" spans="1:17" x14ac:dyDescent="0.25">
      <c r="C16" s="11" t="s">
        <v>206</v>
      </c>
      <c r="D16" s="12" t="str">
        <f>+E8</f>
        <v>CSR-DM PUBLIC KOUASSI-NDAWA (14)</v>
      </c>
      <c r="E16" s="12" t="str">
        <f>E3</f>
        <v>CSU-DM YEZIMALA (26 km)</v>
      </c>
    </row>
    <row r="17" spans="3:5" x14ac:dyDescent="0.25">
      <c r="C17" s="11" t="s">
        <v>206</v>
      </c>
      <c r="D17" s="12" t="str">
        <f>E5</f>
        <v>CSU-DM DE PUBLIC SOKO (20 km)</v>
      </c>
      <c r="E17" s="12" t="str">
        <f>E10</f>
        <v>CSR-D PUBLIC de MOTIAMO</v>
      </c>
    </row>
    <row r="18" spans="3:5" x14ac:dyDescent="0.25">
      <c r="C18" s="11" t="s">
        <v>206</v>
      </c>
      <c r="D18" s="12" t="str">
        <f>+E11</f>
        <v>CSR-DM PUBLIC de BOROMBA (32 km)</v>
      </c>
      <c r="E18" s="12" t="str">
        <f>E4</f>
        <v>CSUS-PMI PUBLIC de BOUDOUKOU</v>
      </c>
    </row>
    <row r="19" spans="3:5" x14ac:dyDescent="0.25">
      <c r="C19" s="11" t="s">
        <v>206</v>
      </c>
      <c r="D19" s="12" t="str">
        <f>E9</f>
        <v>CSR-DM PUBLIC de SONGORI</v>
      </c>
      <c r="E19" s="12" t="str">
        <f>E6</f>
        <v>CSU-D PUBLIC de BONDOUKOU</v>
      </c>
    </row>
    <row r="20" spans="3:5" x14ac:dyDescent="0.25">
      <c r="C20" s="11" t="s">
        <v>206</v>
      </c>
      <c r="D20" s="12" t="str">
        <f>+E7</f>
        <v>CSR-DM PUBLIC de HEREBO</v>
      </c>
      <c r="E20" s="12" t="str">
        <f>+E2</f>
        <v>EPHR PUBLIC de BONDOUKOU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8.7109375" defaultRowHeight="15" x14ac:dyDescent="0.25"/>
  <cols>
    <col min="1" max="2" width="12" customWidth="1"/>
    <col min="3" max="3" width="40.7109375" customWidth="1"/>
    <col min="4" max="4" width="16.42578125" customWidth="1"/>
    <col min="5" max="5" width="32.28515625" customWidth="1"/>
    <col min="6" max="6" width="34.140625" customWidth="1"/>
    <col min="7" max="15" width="42.85546875" customWidth="1"/>
    <col min="16" max="17" width="50" customWidth="1"/>
  </cols>
  <sheetData>
    <row r="1" spans="1:17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/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 ht="19.149999999999999" customHeight="1" x14ac:dyDescent="0.25">
      <c r="A2" s="2" t="s">
        <v>100</v>
      </c>
      <c r="B2" s="2" t="s">
        <v>101</v>
      </c>
      <c r="C2" s="2" t="s">
        <v>102</v>
      </c>
      <c r="D2" s="2" t="s">
        <v>53</v>
      </c>
      <c r="E2" s="2"/>
      <c r="F2" s="3">
        <v>7</v>
      </c>
      <c r="G2" s="3">
        <v>88</v>
      </c>
      <c r="H2" s="3">
        <v>8</v>
      </c>
      <c r="I2" s="3">
        <v>17</v>
      </c>
      <c r="J2" s="3">
        <v>106</v>
      </c>
      <c r="K2" s="3">
        <v>12</v>
      </c>
      <c r="L2" s="3">
        <v>15</v>
      </c>
      <c r="M2" s="3">
        <v>68</v>
      </c>
      <c r="N2" s="3">
        <v>20</v>
      </c>
      <c r="O2" s="3">
        <v>22</v>
      </c>
      <c r="P2" s="3">
        <v>316</v>
      </c>
      <c r="Q2" s="3">
        <v>899</v>
      </c>
    </row>
    <row r="3" spans="1:17" ht="19.149999999999999" customHeight="1" x14ac:dyDescent="0.25">
      <c r="A3" s="4" t="s">
        <v>100</v>
      </c>
      <c r="B3" s="4" t="s">
        <v>101</v>
      </c>
      <c r="C3" s="4" t="s">
        <v>103</v>
      </c>
      <c r="D3" s="4" t="s">
        <v>55</v>
      </c>
      <c r="E3" s="4"/>
      <c r="F3" s="5"/>
      <c r="G3" s="5">
        <v>57</v>
      </c>
      <c r="H3" s="5"/>
      <c r="I3" s="5"/>
      <c r="J3" s="5">
        <v>77</v>
      </c>
      <c r="K3" s="5"/>
      <c r="L3" s="5"/>
      <c r="M3" s="5">
        <v>89</v>
      </c>
      <c r="N3" s="5"/>
      <c r="O3" s="5"/>
      <c r="P3" s="5">
        <v>48</v>
      </c>
      <c r="Q3" s="5">
        <v>265</v>
      </c>
    </row>
    <row r="4" spans="1:17" ht="19.149999999999999" customHeight="1" x14ac:dyDescent="0.25">
      <c r="A4" s="2" t="s">
        <v>100</v>
      </c>
      <c r="B4" s="2" t="s">
        <v>101</v>
      </c>
      <c r="C4" s="2" t="s">
        <v>104</v>
      </c>
      <c r="D4" s="2" t="s">
        <v>55</v>
      </c>
      <c r="E4" s="2"/>
      <c r="F4" s="3"/>
      <c r="G4" s="3">
        <v>46</v>
      </c>
      <c r="H4" s="3">
        <v>4</v>
      </c>
      <c r="I4" s="3">
        <v>4</v>
      </c>
      <c r="J4" s="3">
        <v>46</v>
      </c>
      <c r="K4" s="3">
        <v>6</v>
      </c>
      <c r="L4" s="3"/>
      <c r="M4" s="3">
        <v>40</v>
      </c>
      <c r="N4" s="3">
        <v>3</v>
      </c>
      <c r="O4" s="3">
        <v>6</v>
      </c>
      <c r="P4" s="3">
        <v>58</v>
      </c>
      <c r="Q4" s="3">
        <v>151</v>
      </c>
    </row>
    <row r="5" spans="1:17" ht="19.149999999999999" customHeight="1" x14ac:dyDescent="0.25">
      <c r="A5" s="4" t="s">
        <v>100</v>
      </c>
      <c r="B5" s="4" t="s">
        <v>101</v>
      </c>
      <c r="C5" s="4" t="s">
        <v>105</v>
      </c>
      <c r="D5" s="4" t="s">
        <v>55</v>
      </c>
      <c r="E5" s="4"/>
      <c r="F5" s="5"/>
      <c r="G5" s="5">
        <v>52</v>
      </c>
      <c r="H5" s="5">
        <v>6</v>
      </c>
      <c r="I5" s="5"/>
      <c r="J5" s="5">
        <v>63</v>
      </c>
      <c r="K5" s="5">
        <v>8</v>
      </c>
      <c r="L5" s="5"/>
      <c r="M5" s="5">
        <v>74</v>
      </c>
      <c r="N5" s="5">
        <v>11</v>
      </c>
      <c r="O5" s="5"/>
      <c r="P5" s="5">
        <v>305</v>
      </c>
      <c r="Q5" s="5">
        <v>664</v>
      </c>
    </row>
    <row r="6" spans="1:17" ht="19.149999999999999" customHeight="1" x14ac:dyDescent="0.25">
      <c r="A6" s="2" t="s">
        <v>100</v>
      </c>
      <c r="B6" s="2" t="s">
        <v>101</v>
      </c>
      <c r="C6" s="2" t="s">
        <v>106</v>
      </c>
      <c r="D6" s="2" t="s">
        <v>55</v>
      </c>
      <c r="E6" s="2"/>
      <c r="F6" s="3">
        <v>1</v>
      </c>
      <c r="G6" s="3">
        <v>157</v>
      </c>
      <c r="H6" s="3"/>
      <c r="I6" s="3"/>
      <c r="J6" s="3">
        <v>184</v>
      </c>
      <c r="K6" s="3">
        <v>4</v>
      </c>
      <c r="L6" s="3"/>
      <c r="M6" s="3">
        <v>243</v>
      </c>
      <c r="N6" s="3">
        <v>4</v>
      </c>
      <c r="O6" s="3"/>
      <c r="P6" s="3">
        <v>296</v>
      </c>
      <c r="Q6" s="3">
        <v>613</v>
      </c>
    </row>
    <row r="7" spans="1:17" ht="19.149999999999999" customHeight="1" x14ac:dyDescent="0.25">
      <c r="A7" s="4" t="s">
        <v>100</v>
      </c>
      <c r="B7" s="4" t="s">
        <v>101</v>
      </c>
      <c r="C7" s="4" t="s">
        <v>107</v>
      </c>
      <c r="D7" s="4" t="s">
        <v>60</v>
      </c>
      <c r="E7" t="s">
        <v>208</v>
      </c>
      <c r="F7" s="5"/>
      <c r="G7" s="5">
        <v>4</v>
      </c>
      <c r="H7" s="5"/>
      <c r="I7" s="5"/>
      <c r="J7" s="5">
        <v>1</v>
      </c>
      <c r="K7" s="5">
        <v>2</v>
      </c>
      <c r="L7" s="5"/>
      <c r="M7" s="5">
        <v>4</v>
      </c>
      <c r="N7" s="5"/>
      <c r="O7" s="5"/>
      <c r="P7" s="5">
        <v>82</v>
      </c>
      <c r="Q7" s="5">
        <v>204</v>
      </c>
    </row>
    <row r="8" spans="1:17" ht="19.149999999999999" customHeight="1" x14ac:dyDescent="0.25">
      <c r="A8" s="2" t="s">
        <v>100</v>
      </c>
      <c r="B8" s="2" t="s">
        <v>101</v>
      </c>
      <c r="C8" s="2" t="s">
        <v>108</v>
      </c>
      <c r="D8" s="2" t="s">
        <v>60</v>
      </c>
      <c r="E8" s="2"/>
      <c r="F8" s="3"/>
      <c r="G8" s="3">
        <v>28</v>
      </c>
      <c r="H8" s="3"/>
      <c r="I8" s="3"/>
      <c r="J8" s="3">
        <v>53</v>
      </c>
      <c r="K8" s="3"/>
      <c r="L8" s="3"/>
      <c r="M8" s="3">
        <v>49</v>
      </c>
      <c r="N8" s="3">
        <v>7</v>
      </c>
      <c r="O8" s="3"/>
      <c r="P8" s="3">
        <v>54</v>
      </c>
      <c r="Q8" s="3">
        <v>157</v>
      </c>
    </row>
    <row r="9" spans="1:17" ht="19.149999999999999" customHeight="1" x14ac:dyDescent="0.25">
      <c r="A9" s="4" t="s">
        <v>100</v>
      </c>
      <c r="B9" s="4" t="s">
        <v>101</v>
      </c>
      <c r="C9" s="4" t="s">
        <v>109</v>
      </c>
      <c r="D9" s="4" t="s">
        <v>60</v>
      </c>
      <c r="E9" s="4"/>
      <c r="F9" s="5"/>
      <c r="G9" s="5">
        <v>66</v>
      </c>
      <c r="H9" s="5">
        <v>44</v>
      </c>
      <c r="I9" s="5">
        <v>30</v>
      </c>
      <c r="J9" s="5">
        <v>45</v>
      </c>
      <c r="K9" s="5">
        <v>38</v>
      </c>
      <c r="L9" s="5">
        <v>29</v>
      </c>
      <c r="M9" s="5">
        <v>77</v>
      </c>
      <c r="N9" s="5">
        <v>55</v>
      </c>
      <c r="O9" s="5">
        <v>53</v>
      </c>
      <c r="P9" s="5">
        <v>44</v>
      </c>
      <c r="Q9" s="5">
        <v>217</v>
      </c>
    </row>
    <row r="10" spans="1:17" ht="19.149999999999999" customHeight="1" x14ac:dyDescent="0.25">
      <c r="A10" s="2" t="s">
        <v>100</v>
      </c>
      <c r="B10" s="2" t="s">
        <v>101</v>
      </c>
      <c r="C10" s="2" t="s">
        <v>110</v>
      </c>
      <c r="D10" s="2" t="s">
        <v>60</v>
      </c>
      <c r="E10" s="2" t="s">
        <v>209</v>
      </c>
      <c r="F10" s="3"/>
      <c r="G10" s="3">
        <v>35</v>
      </c>
      <c r="H10" s="3">
        <v>6</v>
      </c>
      <c r="I10" s="3">
        <v>2</v>
      </c>
      <c r="J10" s="3">
        <v>31</v>
      </c>
      <c r="K10" s="3">
        <v>3</v>
      </c>
      <c r="L10" s="3"/>
      <c r="M10" s="3">
        <v>15</v>
      </c>
      <c r="N10" s="3">
        <v>17</v>
      </c>
      <c r="O10" s="3"/>
      <c r="P10" s="3">
        <v>43</v>
      </c>
      <c r="Q10" s="3">
        <v>72</v>
      </c>
    </row>
    <row r="11" spans="1:17" ht="19.149999999999999" customHeight="1" x14ac:dyDescent="0.25">
      <c r="A11" s="4" t="s">
        <v>100</v>
      </c>
      <c r="B11" s="4" t="s">
        <v>101</v>
      </c>
      <c r="C11" s="4" t="s">
        <v>111</v>
      </c>
      <c r="D11" s="4" t="s">
        <v>60</v>
      </c>
      <c r="E11" s="4"/>
      <c r="F11" s="5"/>
      <c r="G11" s="5">
        <v>53</v>
      </c>
      <c r="H11" s="5"/>
      <c r="I11" s="5"/>
      <c r="J11" s="5">
        <v>29</v>
      </c>
      <c r="K11" s="5"/>
      <c r="L11" s="5"/>
      <c r="M11" s="5">
        <v>41</v>
      </c>
      <c r="N11" s="5"/>
      <c r="O11" s="5"/>
      <c r="P11" s="5">
        <v>39</v>
      </c>
      <c r="Q11" s="5">
        <v>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"/>
  <sheetViews>
    <sheetView zoomScale="90" zoomScaleNormal="90" workbookViewId="0">
      <pane ySplit="1" topLeftCell="A2" activePane="bottomLeft" state="frozen"/>
      <selection pane="bottomLeft" activeCell="C10" sqref="C10"/>
    </sheetView>
  </sheetViews>
  <sheetFormatPr baseColWidth="10" defaultColWidth="8.7109375" defaultRowHeight="15" x14ac:dyDescent="0.25"/>
  <cols>
    <col min="1" max="1" width="12" customWidth="1"/>
    <col min="2" max="2" width="16.42578125" customWidth="1"/>
    <col min="3" max="3" width="48.28515625" customWidth="1"/>
    <col min="4" max="4" width="16.42578125" customWidth="1"/>
    <col min="5" max="5" width="43.5703125" customWidth="1"/>
    <col min="6" max="6" width="34.140625" customWidth="1"/>
    <col min="7" max="15" width="42.85546875" customWidth="1"/>
    <col min="16" max="17" width="50" customWidth="1"/>
  </cols>
  <sheetData>
    <row r="1" spans="1:17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/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 ht="30" x14ac:dyDescent="0.25">
      <c r="A2" s="2" t="s">
        <v>112</v>
      </c>
      <c r="B2" s="2" t="s">
        <v>113</v>
      </c>
      <c r="C2" s="2" t="s">
        <v>114</v>
      </c>
      <c r="D2" s="2" t="s">
        <v>53</v>
      </c>
      <c r="E2" s="2"/>
      <c r="F2" s="3">
        <v>12</v>
      </c>
      <c r="G2" s="3"/>
      <c r="H2" s="3"/>
      <c r="I2" s="3"/>
      <c r="J2" s="3"/>
      <c r="K2" s="3"/>
      <c r="L2" s="3"/>
      <c r="M2" s="3"/>
      <c r="N2" s="3"/>
      <c r="O2" s="3"/>
      <c r="P2" s="3">
        <v>178</v>
      </c>
      <c r="Q2" s="3">
        <v>246</v>
      </c>
    </row>
    <row r="3" spans="1:17" ht="30" x14ac:dyDescent="0.25">
      <c r="A3" s="4" t="s">
        <v>112</v>
      </c>
      <c r="B3" s="4" t="s">
        <v>113</v>
      </c>
      <c r="C3" s="4" t="s">
        <v>115</v>
      </c>
      <c r="D3" s="4" t="s">
        <v>55</v>
      </c>
      <c r="E3" s="4"/>
      <c r="F3" s="5"/>
      <c r="G3" s="5">
        <v>424</v>
      </c>
      <c r="H3" s="5">
        <v>84</v>
      </c>
      <c r="I3" s="5">
        <v>48</v>
      </c>
      <c r="J3" s="5">
        <v>243</v>
      </c>
      <c r="K3" s="5">
        <v>53</v>
      </c>
      <c r="L3" s="5">
        <v>30</v>
      </c>
      <c r="M3" s="5">
        <v>336</v>
      </c>
      <c r="N3" s="5">
        <v>70</v>
      </c>
      <c r="O3" s="5">
        <v>44</v>
      </c>
      <c r="P3" s="5">
        <v>166</v>
      </c>
      <c r="Q3" s="5">
        <v>637</v>
      </c>
    </row>
    <row r="4" spans="1:17" ht="30" x14ac:dyDescent="0.25">
      <c r="A4" s="2" t="s">
        <v>112</v>
      </c>
      <c r="B4" s="2" t="s">
        <v>113</v>
      </c>
      <c r="C4" s="2" t="s">
        <v>116</v>
      </c>
      <c r="D4" s="2" t="s">
        <v>55</v>
      </c>
      <c r="E4" s="2"/>
      <c r="F4" s="3"/>
      <c r="G4" s="3">
        <v>286</v>
      </c>
      <c r="H4" s="3">
        <v>196</v>
      </c>
      <c r="I4" s="3">
        <v>165</v>
      </c>
      <c r="J4" s="3">
        <v>224</v>
      </c>
      <c r="K4" s="3"/>
      <c r="L4" s="3"/>
      <c r="M4" s="3">
        <v>297</v>
      </c>
      <c r="N4" s="3">
        <v>185</v>
      </c>
      <c r="O4" s="3">
        <v>79</v>
      </c>
      <c r="P4" s="3">
        <v>342</v>
      </c>
      <c r="Q4" s="3">
        <v>575</v>
      </c>
    </row>
    <row r="5" spans="1:17" ht="30" x14ac:dyDescent="0.25">
      <c r="A5" s="4" t="s">
        <v>112</v>
      </c>
      <c r="B5" s="4" t="s">
        <v>113</v>
      </c>
      <c r="C5" s="4" t="s">
        <v>117</v>
      </c>
      <c r="D5" s="4" t="s">
        <v>55</v>
      </c>
      <c r="E5" s="4"/>
      <c r="F5" s="5"/>
      <c r="G5" s="5">
        <v>66</v>
      </c>
      <c r="H5" s="5">
        <v>10</v>
      </c>
      <c r="I5" s="5">
        <v>11</v>
      </c>
      <c r="J5" s="5">
        <v>72</v>
      </c>
      <c r="K5" s="5">
        <v>9</v>
      </c>
      <c r="L5" s="5">
        <v>8</v>
      </c>
      <c r="M5" s="5">
        <v>56</v>
      </c>
      <c r="N5" s="5">
        <v>17</v>
      </c>
      <c r="O5" s="5">
        <v>11</v>
      </c>
      <c r="P5" s="5">
        <v>101</v>
      </c>
      <c r="Q5" s="5">
        <v>130</v>
      </c>
    </row>
    <row r="6" spans="1:17" ht="30" x14ac:dyDescent="0.25">
      <c r="A6" s="2" t="s">
        <v>112</v>
      </c>
      <c r="B6" s="2" t="s">
        <v>113</v>
      </c>
      <c r="C6" s="2" t="s">
        <v>118</v>
      </c>
      <c r="D6" s="2" t="s">
        <v>55</v>
      </c>
      <c r="E6" s="2"/>
      <c r="F6" s="3"/>
      <c r="G6" s="3">
        <v>2419</v>
      </c>
      <c r="H6" s="3"/>
      <c r="I6" s="3"/>
      <c r="J6" s="3">
        <v>1831</v>
      </c>
      <c r="K6" s="3"/>
      <c r="L6" s="3"/>
      <c r="M6" s="3">
        <v>2356</v>
      </c>
      <c r="N6" s="3">
        <v>40</v>
      </c>
      <c r="O6" s="3">
        <v>81</v>
      </c>
      <c r="P6" s="3">
        <v>424</v>
      </c>
      <c r="Q6" s="3">
        <v>514</v>
      </c>
    </row>
    <row r="7" spans="1:17" ht="30" x14ac:dyDescent="0.25">
      <c r="A7" s="4" t="s">
        <v>112</v>
      </c>
      <c r="B7" s="4" t="s">
        <v>113</v>
      </c>
      <c r="C7" s="4" t="s">
        <v>119</v>
      </c>
      <c r="D7" s="4" t="s">
        <v>60</v>
      </c>
      <c r="E7" s="4"/>
      <c r="F7" s="5"/>
      <c r="G7" s="5">
        <v>51</v>
      </c>
      <c r="H7" s="5">
        <v>6</v>
      </c>
      <c r="I7" s="5">
        <v>93</v>
      </c>
      <c r="J7" s="5">
        <v>40</v>
      </c>
      <c r="K7" s="5">
        <v>6</v>
      </c>
      <c r="L7" s="5">
        <v>23</v>
      </c>
      <c r="M7" s="5">
        <v>35</v>
      </c>
      <c r="N7" s="5">
        <v>14</v>
      </c>
      <c r="O7" s="5">
        <v>49</v>
      </c>
      <c r="P7" s="5">
        <v>82</v>
      </c>
      <c r="Q7" s="5">
        <v>161</v>
      </c>
    </row>
    <row r="8" spans="1:17" ht="30" x14ac:dyDescent="0.25">
      <c r="A8" s="2" t="s">
        <v>112</v>
      </c>
      <c r="B8" s="2" t="s">
        <v>113</v>
      </c>
      <c r="C8" s="2" t="s">
        <v>120</v>
      </c>
      <c r="D8" s="2" t="s">
        <v>60</v>
      </c>
      <c r="E8" s="2" t="s">
        <v>210</v>
      </c>
      <c r="F8" s="3"/>
      <c r="G8" s="3">
        <v>39</v>
      </c>
      <c r="H8" s="3"/>
      <c r="I8" s="3"/>
      <c r="J8" s="3">
        <v>31</v>
      </c>
      <c r="K8" s="3">
        <v>2</v>
      </c>
      <c r="L8" s="3">
        <v>1</v>
      </c>
      <c r="M8" s="3">
        <v>23</v>
      </c>
      <c r="N8" s="3">
        <v>1</v>
      </c>
      <c r="O8" s="3"/>
      <c r="P8" s="3">
        <v>78</v>
      </c>
      <c r="Q8" s="3">
        <v>128</v>
      </c>
    </row>
    <row r="9" spans="1:17" ht="30" x14ac:dyDescent="0.25">
      <c r="A9" s="4" t="s">
        <v>112</v>
      </c>
      <c r="B9" s="4" t="s">
        <v>113</v>
      </c>
      <c r="C9" s="4" t="s">
        <v>121</v>
      </c>
      <c r="D9" s="4" t="s">
        <v>60</v>
      </c>
      <c r="E9" s="4" t="s">
        <v>211</v>
      </c>
      <c r="F9" s="5"/>
      <c r="G9" s="5">
        <v>40</v>
      </c>
      <c r="H9" s="5">
        <v>4</v>
      </c>
      <c r="I9" s="5">
        <v>8</v>
      </c>
      <c r="J9" s="5">
        <v>28</v>
      </c>
      <c r="K9" s="5">
        <v>6</v>
      </c>
      <c r="L9" s="5">
        <v>8</v>
      </c>
      <c r="M9" s="5">
        <v>33</v>
      </c>
      <c r="N9" s="5">
        <v>12</v>
      </c>
      <c r="O9" s="5">
        <v>5</v>
      </c>
      <c r="P9" s="5">
        <v>19</v>
      </c>
      <c r="Q9" s="5">
        <v>63</v>
      </c>
    </row>
    <row r="10" spans="1:17" ht="30" x14ac:dyDescent="0.25">
      <c r="A10" s="2" t="s">
        <v>112</v>
      </c>
      <c r="B10" s="2" t="s">
        <v>113</v>
      </c>
      <c r="C10" s="2" t="s">
        <v>122</v>
      </c>
      <c r="D10" s="2" t="s">
        <v>60</v>
      </c>
      <c r="E10" s="2"/>
      <c r="F10" s="3"/>
      <c r="G10" s="3">
        <v>51</v>
      </c>
      <c r="H10" s="3">
        <v>30</v>
      </c>
      <c r="I10" s="3">
        <v>4</v>
      </c>
      <c r="J10" s="3">
        <v>37</v>
      </c>
      <c r="K10" s="3">
        <v>9</v>
      </c>
      <c r="L10" s="3"/>
      <c r="M10" s="3">
        <v>33</v>
      </c>
      <c r="N10" s="3">
        <v>13</v>
      </c>
      <c r="O10" s="3">
        <v>1</v>
      </c>
      <c r="P10" s="3">
        <v>54</v>
      </c>
      <c r="Q10" s="3">
        <v>175</v>
      </c>
    </row>
    <row r="11" spans="1:17" ht="30" x14ac:dyDescent="0.25">
      <c r="A11" s="4" t="s">
        <v>112</v>
      </c>
      <c r="B11" s="4" t="s">
        <v>113</v>
      </c>
      <c r="C11" s="4" t="s">
        <v>123</v>
      </c>
      <c r="D11" s="4" t="s">
        <v>60</v>
      </c>
      <c r="E11" s="4"/>
      <c r="F11" s="5"/>
      <c r="G11" s="5">
        <v>21</v>
      </c>
      <c r="H11" s="5">
        <v>6</v>
      </c>
      <c r="I11" s="5">
        <v>4</v>
      </c>
      <c r="J11" s="5">
        <v>25</v>
      </c>
      <c r="K11" s="5">
        <v>2</v>
      </c>
      <c r="L11" s="5">
        <v>8</v>
      </c>
      <c r="M11" s="5">
        <v>25</v>
      </c>
      <c r="N11" s="5">
        <v>3</v>
      </c>
      <c r="O11" s="5"/>
      <c r="P11" s="5">
        <v>20</v>
      </c>
      <c r="Q11" s="5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"/>
  <sheetViews>
    <sheetView topLeftCell="K1" workbookViewId="0">
      <pane ySplit="1" topLeftCell="A2" activePane="bottomLeft" state="frozen"/>
      <selection pane="bottomLeft" activeCell="E7" sqref="E7"/>
    </sheetView>
  </sheetViews>
  <sheetFormatPr baseColWidth="10" defaultColWidth="8.7109375" defaultRowHeight="15" x14ac:dyDescent="0.25"/>
  <cols>
    <col min="1" max="1" width="12" customWidth="1"/>
    <col min="2" max="2" width="12.140625" customWidth="1"/>
    <col min="3" max="3" width="36.28515625" customWidth="1"/>
    <col min="4" max="4" width="16.42578125" customWidth="1"/>
    <col min="5" max="5" width="34.140625" customWidth="1"/>
    <col min="6" max="14" width="42.85546875" customWidth="1"/>
    <col min="15" max="16" width="50" customWidth="1"/>
  </cols>
  <sheetData>
    <row r="1" spans="1:16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7.4" customHeight="1" x14ac:dyDescent="0.25">
      <c r="A2" s="2" t="s">
        <v>135</v>
      </c>
      <c r="B2" s="2" t="s">
        <v>136</v>
      </c>
      <c r="C2" s="2" t="s">
        <v>137</v>
      </c>
      <c r="D2" s="2" t="s">
        <v>53</v>
      </c>
      <c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>
        <v>138</v>
      </c>
      <c r="P2" s="3">
        <v>322</v>
      </c>
    </row>
    <row r="3" spans="1:16" ht="27.4" customHeight="1" x14ac:dyDescent="0.25">
      <c r="A3" s="4" t="s">
        <v>135</v>
      </c>
      <c r="B3" s="4" t="s">
        <v>136</v>
      </c>
      <c r="C3" s="4" t="s">
        <v>138</v>
      </c>
      <c r="D3" s="4" t="s">
        <v>55</v>
      </c>
      <c r="E3" s="5"/>
      <c r="F3" s="5">
        <v>66</v>
      </c>
      <c r="G3" s="5">
        <v>18</v>
      </c>
      <c r="H3" s="5">
        <v>21</v>
      </c>
      <c r="I3" s="5">
        <v>55</v>
      </c>
      <c r="J3" s="5">
        <v>4</v>
      </c>
      <c r="K3" s="5">
        <v>15</v>
      </c>
      <c r="L3" s="5">
        <v>49</v>
      </c>
      <c r="M3" s="5">
        <v>9</v>
      </c>
      <c r="N3" s="5">
        <v>10</v>
      </c>
      <c r="O3" s="5">
        <v>81</v>
      </c>
      <c r="P3" s="5">
        <v>68</v>
      </c>
    </row>
    <row r="4" spans="1:16" ht="27.4" customHeight="1" x14ac:dyDescent="0.25">
      <c r="A4" s="2" t="s">
        <v>135</v>
      </c>
      <c r="B4" s="2" t="s">
        <v>136</v>
      </c>
      <c r="C4" s="2" t="s">
        <v>139</v>
      </c>
      <c r="D4" s="2" t="s">
        <v>55</v>
      </c>
      <c r="E4" s="3">
        <v>1</v>
      </c>
      <c r="F4" s="3">
        <v>12</v>
      </c>
      <c r="G4" s="3"/>
      <c r="H4" s="3"/>
      <c r="I4" s="3">
        <v>33</v>
      </c>
      <c r="J4" s="3"/>
      <c r="K4" s="3">
        <v>3</v>
      </c>
      <c r="L4" s="3">
        <v>11</v>
      </c>
      <c r="M4" s="3"/>
      <c r="N4" s="3"/>
      <c r="O4" s="3">
        <v>74</v>
      </c>
      <c r="P4" s="3">
        <v>105</v>
      </c>
    </row>
    <row r="5" spans="1:16" ht="27.4" customHeight="1" x14ac:dyDescent="0.25">
      <c r="A5" s="4" t="s">
        <v>135</v>
      </c>
      <c r="B5" s="4" t="s">
        <v>136</v>
      </c>
      <c r="C5" s="4" t="s">
        <v>140</v>
      </c>
      <c r="D5" s="4" t="s">
        <v>60</v>
      </c>
      <c r="E5" s="5"/>
      <c r="F5" s="5">
        <v>17</v>
      </c>
      <c r="G5" s="5"/>
      <c r="H5" s="5"/>
      <c r="I5" s="5">
        <v>10</v>
      </c>
      <c r="J5" s="5"/>
      <c r="K5" s="5"/>
      <c r="L5" s="5">
        <v>31</v>
      </c>
      <c r="M5" s="5"/>
      <c r="N5" s="5"/>
      <c r="O5" s="5">
        <v>9</v>
      </c>
      <c r="P5" s="5">
        <v>175</v>
      </c>
    </row>
    <row r="6" spans="1:16" ht="27.4" customHeight="1" x14ac:dyDescent="0.25">
      <c r="A6" s="2" t="s">
        <v>135</v>
      </c>
      <c r="B6" s="2" t="s">
        <v>136</v>
      </c>
      <c r="C6" s="2" t="s">
        <v>141</v>
      </c>
      <c r="D6" s="2" t="s">
        <v>60</v>
      </c>
      <c r="E6" s="3"/>
      <c r="F6" s="3">
        <v>10</v>
      </c>
      <c r="G6" s="3"/>
      <c r="H6" s="3"/>
      <c r="I6" s="3">
        <v>8</v>
      </c>
      <c r="J6" s="3">
        <v>1</v>
      </c>
      <c r="K6" s="3"/>
      <c r="L6" s="3">
        <v>10</v>
      </c>
      <c r="M6" s="3"/>
      <c r="N6" s="3"/>
      <c r="O6" s="3">
        <v>35</v>
      </c>
      <c r="P6" s="3">
        <v>57</v>
      </c>
    </row>
    <row r="7" spans="1:16" ht="27.4" customHeight="1" x14ac:dyDescent="0.25">
      <c r="A7" s="4" t="s">
        <v>135</v>
      </c>
      <c r="B7" s="4" t="s">
        <v>136</v>
      </c>
      <c r="C7" s="4" t="s">
        <v>142</v>
      </c>
      <c r="D7" s="4" t="s">
        <v>60</v>
      </c>
      <c r="E7" s="5"/>
      <c r="F7" s="5">
        <v>40</v>
      </c>
      <c r="G7" s="5"/>
      <c r="H7" s="5"/>
      <c r="I7" s="5">
        <v>42</v>
      </c>
      <c r="J7" s="5"/>
      <c r="K7" s="5"/>
      <c r="L7" s="5">
        <v>33</v>
      </c>
      <c r="M7" s="5"/>
      <c r="N7" s="5"/>
      <c r="O7" s="5">
        <v>172</v>
      </c>
      <c r="P7" s="5">
        <v>199</v>
      </c>
    </row>
    <row r="8" spans="1:16" ht="27.4" customHeight="1" x14ac:dyDescent="0.25">
      <c r="A8" s="2" t="s">
        <v>135</v>
      </c>
      <c r="B8" s="2" t="s">
        <v>136</v>
      </c>
      <c r="C8" s="2" t="s">
        <v>143</v>
      </c>
      <c r="D8" s="2" t="s">
        <v>60</v>
      </c>
      <c r="E8" s="3"/>
      <c r="F8" s="3">
        <v>12</v>
      </c>
      <c r="G8" s="3"/>
      <c r="H8" s="3"/>
      <c r="I8" s="3">
        <v>16</v>
      </c>
      <c r="J8" s="3"/>
      <c r="K8" s="3"/>
      <c r="L8" s="3">
        <v>12</v>
      </c>
      <c r="M8" s="3">
        <v>1</v>
      </c>
      <c r="N8" s="3">
        <v>2</v>
      </c>
      <c r="O8" s="3">
        <v>36</v>
      </c>
      <c r="P8" s="3">
        <v>77</v>
      </c>
    </row>
    <row r="9" spans="1:16" ht="27.4" customHeight="1" x14ac:dyDescent="0.25">
      <c r="A9" s="4" t="s">
        <v>135</v>
      </c>
      <c r="B9" s="4" t="s">
        <v>136</v>
      </c>
      <c r="C9" s="4" t="s">
        <v>144</v>
      </c>
      <c r="D9" s="4" t="s">
        <v>60</v>
      </c>
      <c r="E9" s="5"/>
      <c r="F9" s="5">
        <v>7</v>
      </c>
      <c r="G9" s="5"/>
      <c r="H9" s="5"/>
      <c r="I9" s="5">
        <v>12</v>
      </c>
      <c r="J9" s="5"/>
      <c r="K9" s="5"/>
      <c r="L9" s="5">
        <v>16</v>
      </c>
      <c r="M9" s="5"/>
      <c r="N9" s="5"/>
      <c r="O9" s="5">
        <v>34</v>
      </c>
      <c r="P9" s="5">
        <v>147</v>
      </c>
    </row>
    <row r="10" spans="1:16" ht="27.4" customHeight="1" x14ac:dyDescent="0.25">
      <c r="A10" s="2" t="s">
        <v>135</v>
      </c>
      <c r="B10" s="2" t="s">
        <v>136</v>
      </c>
      <c r="C10" s="2" t="s">
        <v>145</v>
      </c>
      <c r="D10" s="2" t="s">
        <v>60</v>
      </c>
      <c r="E10" s="3"/>
      <c r="F10" s="3">
        <v>6</v>
      </c>
      <c r="G10" s="3"/>
      <c r="H10" s="3"/>
      <c r="I10" s="3">
        <v>4</v>
      </c>
      <c r="J10" s="3"/>
      <c r="K10" s="3"/>
      <c r="L10" s="3">
        <v>5</v>
      </c>
      <c r="M10" s="3"/>
      <c r="N10" s="3"/>
      <c r="O10" s="3"/>
      <c r="P10" s="3">
        <v>74</v>
      </c>
    </row>
    <row r="11" spans="1:16" ht="27.4" customHeight="1" x14ac:dyDescent="0.25">
      <c r="A11" s="4" t="s">
        <v>135</v>
      </c>
      <c r="B11" s="4" t="s">
        <v>136</v>
      </c>
      <c r="C11" s="4" t="s">
        <v>146</v>
      </c>
      <c r="D11" s="4" t="s">
        <v>60</v>
      </c>
      <c r="E11" s="5"/>
      <c r="F11" s="5">
        <v>14</v>
      </c>
      <c r="G11" s="5"/>
      <c r="H11" s="5"/>
      <c r="I11" s="5">
        <v>16</v>
      </c>
      <c r="J11" s="5"/>
      <c r="K11" s="5"/>
      <c r="L11" s="5">
        <v>13</v>
      </c>
      <c r="M11" s="5"/>
      <c r="N11" s="5"/>
      <c r="O11" s="5">
        <v>3</v>
      </c>
      <c r="P11" s="5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7109375" defaultRowHeight="15" x14ac:dyDescent="0.25"/>
  <cols>
    <col min="1" max="1" width="15.28515625" customWidth="1"/>
    <col min="2" max="2" width="12" customWidth="1"/>
    <col min="3" max="3" width="50" customWidth="1"/>
    <col min="4" max="4" width="16.42578125" customWidth="1"/>
    <col min="5" max="5" width="34.140625" customWidth="1"/>
    <col min="6" max="14" width="42.85546875" customWidth="1"/>
    <col min="15" max="16" width="50" customWidth="1"/>
  </cols>
  <sheetData>
    <row r="1" spans="1:16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30" x14ac:dyDescent="0.25">
      <c r="A2" s="2" t="s">
        <v>124</v>
      </c>
      <c r="B2" s="2" t="s">
        <v>125</v>
      </c>
      <c r="C2" s="2" t="s">
        <v>126</v>
      </c>
      <c r="D2" s="2" t="s">
        <v>53</v>
      </c>
      <c r="E2" s="3">
        <v>17</v>
      </c>
      <c r="F2" s="3">
        <v>305</v>
      </c>
      <c r="G2" s="3"/>
      <c r="H2" s="3"/>
      <c r="I2" s="3">
        <v>189</v>
      </c>
      <c r="J2" s="3"/>
      <c r="K2" s="3"/>
      <c r="L2" s="3">
        <v>162</v>
      </c>
      <c r="M2" s="3"/>
      <c r="N2" s="3"/>
      <c r="O2" s="3">
        <v>733</v>
      </c>
      <c r="P2" s="3">
        <v>596</v>
      </c>
    </row>
    <row r="3" spans="1:16" ht="30" x14ac:dyDescent="0.25">
      <c r="A3" s="4" t="s">
        <v>124</v>
      </c>
      <c r="B3" s="4" t="s">
        <v>125</v>
      </c>
      <c r="C3" s="4" t="s">
        <v>127</v>
      </c>
      <c r="D3" s="4" t="s">
        <v>55</v>
      </c>
      <c r="E3" s="5"/>
      <c r="F3" s="5">
        <v>141</v>
      </c>
      <c r="G3" s="5">
        <v>10</v>
      </c>
      <c r="H3" s="5">
        <v>10</v>
      </c>
      <c r="I3" s="5">
        <v>130</v>
      </c>
      <c r="J3" s="5">
        <v>10</v>
      </c>
      <c r="K3" s="5">
        <v>15</v>
      </c>
      <c r="L3" s="5">
        <v>96</v>
      </c>
      <c r="M3" s="5">
        <v>18</v>
      </c>
      <c r="N3" s="5">
        <v>16</v>
      </c>
      <c r="O3" s="5">
        <v>322</v>
      </c>
      <c r="P3" s="5">
        <v>922</v>
      </c>
    </row>
    <row r="4" spans="1:16" ht="30" x14ac:dyDescent="0.25">
      <c r="A4" s="2" t="s">
        <v>124</v>
      </c>
      <c r="B4" s="2" t="s">
        <v>125</v>
      </c>
      <c r="C4" s="2" t="s">
        <v>128</v>
      </c>
      <c r="D4" s="2" t="s">
        <v>55</v>
      </c>
      <c r="E4" s="3"/>
      <c r="F4" s="3">
        <v>151</v>
      </c>
      <c r="G4" s="3"/>
      <c r="H4" s="3"/>
      <c r="I4" s="3">
        <v>115</v>
      </c>
      <c r="J4" s="3">
        <v>1</v>
      </c>
      <c r="K4" s="3"/>
      <c r="L4" s="3">
        <v>123</v>
      </c>
      <c r="M4" s="3">
        <v>1</v>
      </c>
      <c r="N4" s="3"/>
      <c r="O4" s="3">
        <v>1104</v>
      </c>
      <c r="P4" s="3">
        <v>1126</v>
      </c>
    </row>
    <row r="5" spans="1:16" ht="30" x14ac:dyDescent="0.25">
      <c r="A5" s="4" t="s">
        <v>124</v>
      </c>
      <c r="B5" s="4" t="s">
        <v>125</v>
      </c>
      <c r="C5" s="4" t="s">
        <v>129</v>
      </c>
      <c r="D5" s="4" t="s">
        <v>55</v>
      </c>
      <c r="E5" s="5"/>
      <c r="F5" s="5">
        <v>90</v>
      </c>
      <c r="G5" s="5">
        <v>2</v>
      </c>
      <c r="H5" s="5">
        <v>3</v>
      </c>
      <c r="I5" s="5">
        <v>60</v>
      </c>
      <c r="J5" s="5">
        <v>19</v>
      </c>
      <c r="K5" s="5">
        <v>6</v>
      </c>
      <c r="L5" s="5">
        <v>75</v>
      </c>
      <c r="M5" s="5">
        <v>27</v>
      </c>
      <c r="N5" s="5">
        <v>3</v>
      </c>
      <c r="O5" s="5">
        <v>228</v>
      </c>
      <c r="P5" s="5">
        <v>198</v>
      </c>
    </row>
    <row r="6" spans="1:16" ht="30" x14ac:dyDescent="0.25">
      <c r="A6" s="2" t="s">
        <v>124</v>
      </c>
      <c r="B6" s="2" t="s">
        <v>125</v>
      </c>
      <c r="C6" s="2" t="s">
        <v>196</v>
      </c>
      <c r="D6" s="2" t="s">
        <v>55</v>
      </c>
      <c r="E6" s="3"/>
      <c r="F6" s="3">
        <v>34</v>
      </c>
      <c r="G6" s="3"/>
      <c r="H6" s="3"/>
      <c r="I6" s="3">
        <v>43</v>
      </c>
      <c r="J6" s="3"/>
      <c r="K6" s="3"/>
      <c r="L6" s="3">
        <v>32</v>
      </c>
      <c r="M6" s="3"/>
      <c r="N6" s="3"/>
      <c r="O6" s="3">
        <v>368</v>
      </c>
      <c r="P6" s="3">
        <v>181</v>
      </c>
    </row>
    <row r="7" spans="1:16" ht="30" x14ac:dyDescent="0.25">
      <c r="A7" s="4" t="s">
        <v>124</v>
      </c>
      <c r="B7" s="4" t="s">
        <v>125</v>
      </c>
      <c r="C7" s="4" t="s">
        <v>130</v>
      </c>
      <c r="D7" s="4" t="s">
        <v>60</v>
      </c>
      <c r="E7" s="5"/>
      <c r="F7" s="5">
        <v>278</v>
      </c>
      <c r="G7" s="5">
        <v>22</v>
      </c>
      <c r="H7" s="5">
        <v>5</v>
      </c>
      <c r="I7" s="5">
        <v>152</v>
      </c>
      <c r="J7" s="5">
        <v>36</v>
      </c>
      <c r="K7" s="5">
        <v>29</v>
      </c>
      <c r="L7" s="5">
        <v>241</v>
      </c>
      <c r="M7" s="5">
        <v>96</v>
      </c>
      <c r="N7" s="5">
        <v>413</v>
      </c>
      <c r="O7" s="5">
        <v>396</v>
      </c>
      <c r="P7" s="5">
        <v>629</v>
      </c>
    </row>
    <row r="8" spans="1:16" ht="30" x14ac:dyDescent="0.25">
      <c r="A8" s="2" t="s">
        <v>124</v>
      </c>
      <c r="B8" s="2" t="s">
        <v>125</v>
      </c>
      <c r="C8" s="2" t="s">
        <v>131</v>
      </c>
      <c r="D8" s="2" t="s">
        <v>60</v>
      </c>
      <c r="E8" s="3"/>
      <c r="F8" s="3">
        <v>57</v>
      </c>
      <c r="G8" s="3"/>
      <c r="H8" s="3">
        <v>3</v>
      </c>
      <c r="I8" s="3">
        <v>70</v>
      </c>
      <c r="J8" s="3"/>
      <c r="K8" s="3">
        <v>3</v>
      </c>
      <c r="L8" s="3">
        <v>95</v>
      </c>
      <c r="M8" s="3"/>
      <c r="N8" s="3">
        <v>4</v>
      </c>
      <c r="O8" s="3">
        <v>115</v>
      </c>
      <c r="P8" s="3">
        <v>131</v>
      </c>
    </row>
    <row r="9" spans="1:16" ht="30" x14ac:dyDescent="0.25">
      <c r="A9" s="4" t="s">
        <v>124</v>
      </c>
      <c r="B9" s="4" t="s">
        <v>125</v>
      </c>
      <c r="C9" s="4" t="s">
        <v>132</v>
      </c>
      <c r="D9" s="4" t="s">
        <v>60</v>
      </c>
      <c r="E9" s="5"/>
      <c r="F9" s="5">
        <v>14</v>
      </c>
      <c r="G9" s="5">
        <v>4</v>
      </c>
      <c r="H9" s="5"/>
      <c r="I9" s="5">
        <v>29</v>
      </c>
      <c r="J9" s="5">
        <v>1</v>
      </c>
      <c r="K9" s="5"/>
      <c r="L9" s="5">
        <v>35</v>
      </c>
      <c r="M9" s="5">
        <v>16</v>
      </c>
      <c r="N9" s="5">
        <v>17</v>
      </c>
      <c r="O9" s="5">
        <v>48</v>
      </c>
      <c r="P9" s="5">
        <v>43</v>
      </c>
    </row>
    <row r="10" spans="1:16" ht="30" x14ac:dyDescent="0.25">
      <c r="A10" s="2" t="s">
        <v>124</v>
      </c>
      <c r="B10" s="2" t="s">
        <v>125</v>
      </c>
      <c r="C10" s="2" t="s">
        <v>133</v>
      </c>
      <c r="D10" s="2" t="s">
        <v>60</v>
      </c>
      <c r="E10" s="3"/>
      <c r="F10" s="3">
        <v>126</v>
      </c>
      <c r="G10" s="3"/>
      <c r="H10" s="3"/>
      <c r="I10" s="3">
        <v>114</v>
      </c>
      <c r="J10" s="3"/>
      <c r="K10" s="3"/>
      <c r="L10" s="3">
        <v>146</v>
      </c>
      <c r="M10" s="3"/>
      <c r="N10" s="3"/>
      <c r="O10" s="3">
        <v>341</v>
      </c>
      <c r="P10" s="3">
        <v>286</v>
      </c>
    </row>
    <row r="11" spans="1:16" ht="30" x14ac:dyDescent="0.25">
      <c r="A11" s="4" t="s">
        <v>124</v>
      </c>
      <c r="B11" s="4" t="s">
        <v>125</v>
      </c>
      <c r="C11" s="4" t="s">
        <v>134</v>
      </c>
      <c r="D11" s="4" t="s">
        <v>60</v>
      </c>
      <c r="E11" s="5"/>
      <c r="F11" s="5">
        <v>88</v>
      </c>
      <c r="G11" s="5"/>
      <c r="H11" s="5"/>
      <c r="I11" s="5">
        <v>111</v>
      </c>
      <c r="J11" s="5"/>
      <c r="K11" s="5"/>
      <c r="L11" s="5">
        <v>121</v>
      </c>
      <c r="M11" s="5"/>
      <c r="N11" s="5"/>
      <c r="O11" s="5">
        <v>38</v>
      </c>
      <c r="P11" s="5">
        <v>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7109375" defaultRowHeight="15" x14ac:dyDescent="0.25"/>
  <cols>
    <col min="1" max="2" width="12" customWidth="1"/>
    <col min="3" max="3" width="42.28515625" customWidth="1"/>
    <col min="4" max="4" width="16.42578125" customWidth="1"/>
    <col min="5" max="5" width="34.140625" customWidth="1"/>
    <col min="6" max="14" width="42.85546875" customWidth="1"/>
    <col min="15" max="16" width="50" customWidth="1"/>
  </cols>
  <sheetData>
    <row r="1" spans="1:16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19.149999999999999" customHeight="1" x14ac:dyDescent="0.25">
      <c r="A2" s="2" t="s">
        <v>147</v>
      </c>
      <c r="B2" s="2" t="s">
        <v>148</v>
      </c>
      <c r="C2" s="2" t="s">
        <v>149</v>
      </c>
      <c r="D2" s="2" t="s">
        <v>53</v>
      </c>
      <c r="E2" s="3">
        <v>6</v>
      </c>
      <c r="F2" s="3">
        <v>124</v>
      </c>
      <c r="G2" s="3">
        <v>4</v>
      </c>
      <c r="H2" s="3">
        <v>4</v>
      </c>
      <c r="I2" s="3">
        <v>95</v>
      </c>
      <c r="J2" s="3">
        <v>1</v>
      </c>
      <c r="K2" s="3">
        <v>12</v>
      </c>
      <c r="L2" s="3">
        <v>80</v>
      </c>
      <c r="M2" s="3">
        <v>3</v>
      </c>
      <c r="N2" s="3">
        <v>16</v>
      </c>
      <c r="O2" s="3">
        <v>555</v>
      </c>
      <c r="P2" s="3">
        <v>290</v>
      </c>
    </row>
    <row r="3" spans="1:16" ht="19.149999999999999" customHeight="1" x14ac:dyDescent="0.25">
      <c r="A3" s="4" t="s">
        <v>147</v>
      </c>
      <c r="B3" s="4" t="s">
        <v>148</v>
      </c>
      <c r="C3" s="4" t="s">
        <v>150</v>
      </c>
      <c r="D3" s="4" t="s">
        <v>55</v>
      </c>
      <c r="E3" s="5"/>
      <c r="F3" s="5">
        <v>359</v>
      </c>
      <c r="G3" s="5">
        <v>4</v>
      </c>
      <c r="H3" s="5"/>
      <c r="I3" s="5">
        <v>326</v>
      </c>
      <c r="J3" s="5">
        <v>25</v>
      </c>
      <c r="K3" s="5">
        <v>6</v>
      </c>
      <c r="L3" s="5">
        <v>317</v>
      </c>
      <c r="M3" s="5">
        <v>224</v>
      </c>
      <c r="N3" s="5">
        <v>154</v>
      </c>
      <c r="O3" s="5">
        <v>296</v>
      </c>
      <c r="P3" s="5">
        <v>447</v>
      </c>
    </row>
    <row r="4" spans="1:16" ht="19.149999999999999" customHeight="1" x14ac:dyDescent="0.25">
      <c r="A4" s="2" t="s">
        <v>147</v>
      </c>
      <c r="B4" s="2" t="s">
        <v>148</v>
      </c>
      <c r="C4" s="2" t="s">
        <v>151</v>
      </c>
      <c r="D4" s="2" t="s">
        <v>55</v>
      </c>
      <c r="E4" s="3"/>
      <c r="F4" s="3">
        <v>293</v>
      </c>
      <c r="G4" s="3">
        <v>52</v>
      </c>
      <c r="H4" s="3">
        <v>55</v>
      </c>
      <c r="I4" s="3">
        <v>312</v>
      </c>
      <c r="J4" s="3">
        <v>52</v>
      </c>
      <c r="K4" s="3">
        <v>61</v>
      </c>
      <c r="L4" s="3">
        <v>305</v>
      </c>
      <c r="M4" s="3">
        <v>96</v>
      </c>
      <c r="N4" s="3">
        <v>70</v>
      </c>
      <c r="O4" s="3">
        <v>913</v>
      </c>
      <c r="P4" s="3">
        <v>641</v>
      </c>
    </row>
    <row r="5" spans="1:16" ht="19.149999999999999" customHeight="1" x14ac:dyDescent="0.25">
      <c r="A5" s="4" t="s">
        <v>147</v>
      </c>
      <c r="B5" s="4" t="s">
        <v>148</v>
      </c>
      <c r="C5" s="4" t="s">
        <v>152</v>
      </c>
      <c r="D5" s="4" t="s">
        <v>55</v>
      </c>
      <c r="E5" s="5"/>
      <c r="F5" s="5">
        <v>210</v>
      </c>
      <c r="G5" s="5">
        <v>12</v>
      </c>
      <c r="H5" s="5"/>
      <c r="I5" s="5">
        <v>175</v>
      </c>
      <c r="J5" s="5">
        <v>22</v>
      </c>
      <c r="K5" s="5"/>
      <c r="L5" s="5">
        <v>169</v>
      </c>
      <c r="M5" s="5">
        <v>17</v>
      </c>
      <c r="N5" s="5">
        <v>1</v>
      </c>
      <c r="O5" s="5">
        <v>686</v>
      </c>
      <c r="P5" s="5">
        <v>534</v>
      </c>
    </row>
    <row r="6" spans="1:16" ht="19.149999999999999" customHeight="1" x14ac:dyDescent="0.25">
      <c r="A6" s="2" t="s">
        <v>147</v>
      </c>
      <c r="B6" s="2" t="s">
        <v>148</v>
      </c>
      <c r="C6" s="2" t="s">
        <v>153</v>
      </c>
      <c r="D6" s="2" t="s">
        <v>55</v>
      </c>
      <c r="E6" s="3">
        <v>1</v>
      </c>
      <c r="F6" s="3">
        <v>307</v>
      </c>
      <c r="G6" s="3">
        <v>6</v>
      </c>
      <c r="H6" s="3">
        <v>7</v>
      </c>
      <c r="I6" s="3">
        <v>278</v>
      </c>
      <c r="J6" s="3">
        <v>6</v>
      </c>
      <c r="K6" s="3">
        <v>5</v>
      </c>
      <c r="L6" s="3">
        <v>239</v>
      </c>
      <c r="M6" s="3">
        <v>27</v>
      </c>
      <c r="N6" s="3">
        <v>114</v>
      </c>
      <c r="O6" s="3">
        <v>1240</v>
      </c>
      <c r="P6" s="3">
        <v>767</v>
      </c>
    </row>
    <row r="7" spans="1:16" ht="19.149999999999999" customHeight="1" x14ac:dyDescent="0.25">
      <c r="A7" s="4" t="s">
        <v>147</v>
      </c>
      <c r="B7" s="4" t="s">
        <v>148</v>
      </c>
      <c r="C7" s="4" t="s">
        <v>154</v>
      </c>
      <c r="D7" s="4" t="s">
        <v>60</v>
      </c>
      <c r="E7" s="5"/>
      <c r="F7" s="5">
        <v>54</v>
      </c>
      <c r="G7" s="5"/>
      <c r="H7" s="5"/>
      <c r="I7" s="5">
        <v>48</v>
      </c>
      <c r="J7" s="5">
        <v>2</v>
      </c>
      <c r="K7" s="5"/>
      <c r="L7" s="5">
        <v>49</v>
      </c>
      <c r="M7" s="5"/>
      <c r="N7" s="5"/>
      <c r="O7" s="5">
        <v>76</v>
      </c>
      <c r="P7" s="5">
        <v>171</v>
      </c>
    </row>
    <row r="8" spans="1:16" ht="19.149999999999999" customHeight="1" x14ac:dyDescent="0.25">
      <c r="A8" s="2" t="s">
        <v>147</v>
      </c>
      <c r="B8" s="2" t="s">
        <v>148</v>
      </c>
      <c r="C8" s="2" t="s">
        <v>155</v>
      </c>
      <c r="D8" s="2" t="s">
        <v>60</v>
      </c>
      <c r="E8" s="3"/>
      <c r="F8" s="3">
        <v>25</v>
      </c>
      <c r="G8" s="3"/>
      <c r="H8" s="3"/>
      <c r="I8" s="3">
        <v>30</v>
      </c>
      <c r="J8" s="3">
        <v>1</v>
      </c>
      <c r="K8" s="3"/>
      <c r="L8" s="3">
        <v>28</v>
      </c>
      <c r="M8" s="3"/>
      <c r="N8" s="3"/>
      <c r="O8" s="3">
        <v>137</v>
      </c>
      <c r="P8" s="3">
        <v>173</v>
      </c>
    </row>
    <row r="9" spans="1:16" ht="19.149999999999999" customHeight="1" x14ac:dyDescent="0.25">
      <c r="A9" s="4" t="s">
        <v>147</v>
      </c>
      <c r="B9" s="4" t="s">
        <v>148</v>
      </c>
      <c r="C9" s="4" t="s">
        <v>156</v>
      </c>
      <c r="D9" s="4" t="s">
        <v>60</v>
      </c>
      <c r="E9" s="5"/>
      <c r="F9" s="5">
        <v>62</v>
      </c>
      <c r="G9" s="5"/>
      <c r="H9" s="5"/>
      <c r="I9" s="5">
        <v>37</v>
      </c>
      <c r="J9" s="5"/>
      <c r="K9" s="5"/>
      <c r="L9" s="5">
        <v>80</v>
      </c>
      <c r="M9" s="5"/>
      <c r="N9" s="5">
        <v>4</v>
      </c>
      <c r="O9" s="5">
        <v>19</v>
      </c>
      <c r="P9" s="5">
        <v>50</v>
      </c>
    </row>
    <row r="10" spans="1:16" ht="19.149999999999999" customHeight="1" x14ac:dyDescent="0.25">
      <c r="A10" s="2" t="s">
        <v>147</v>
      </c>
      <c r="B10" s="2" t="s">
        <v>148</v>
      </c>
      <c r="C10" s="2" t="s">
        <v>157</v>
      </c>
      <c r="D10" s="2" t="s">
        <v>60</v>
      </c>
      <c r="E10" s="3"/>
      <c r="F10" s="3">
        <v>33</v>
      </c>
      <c r="G10" s="3">
        <v>6</v>
      </c>
      <c r="H10" s="3">
        <v>3</v>
      </c>
      <c r="I10" s="3">
        <v>36</v>
      </c>
      <c r="J10" s="3">
        <v>3</v>
      </c>
      <c r="K10" s="3"/>
      <c r="L10" s="3">
        <v>40</v>
      </c>
      <c r="M10" s="3"/>
      <c r="N10" s="3"/>
      <c r="O10" s="3">
        <v>24</v>
      </c>
      <c r="P10" s="3">
        <v>37</v>
      </c>
    </row>
    <row r="11" spans="1:16" ht="19.149999999999999" customHeight="1" x14ac:dyDescent="0.25">
      <c r="A11" s="4" t="s">
        <v>147</v>
      </c>
      <c r="B11" s="4" t="s">
        <v>148</v>
      </c>
      <c r="C11" s="4" t="s">
        <v>158</v>
      </c>
      <c r="D11" s="4" t="s">
        <v>60</v>
      </c>
      <c r="E11" s="5"/>
      <c r="F11" s="5">
        <v>46</v>
      </c>
      <c r="G11" s="5"/>
      <c r="H11" s="5"/>
      <c r="I11" s="5">
        <v>44</v>
      </c>
      <c r="J11" s="5"/>
      <c r="K11" s="5"/>
      <c r="L11" s="5">
        <v>46</v>
      </c>
      <c r="M11" s="5"/>
      <c r="N11" s="5"/>
      <c r="O11" s="5">
        <v>75</v>
      </c>
      <c r="P11" s="5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8.7109375" defaultRowHeight="15" x14ac:dyDescent="0.25"/>
  <cols>
    <col min="1" max="2" width="12" customWidth="1"/>
    <col min="3" max="3" width="45.140625" customWidth="1"/>
    <col min="4" max="4" width="16.42578125" customWidth="1"/>
    <col min="5" max="5" width="34.140625" customWidth="1"/>
    <col min="6" max="14" width="42.85546875" customWidth="1"/>
    <col min="15" max="16" width="50" customWidth="1"/>
  </cols>
  <sheetData>
    <row r="1" spans="1:16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30" x14ac:dyDescent="0.25">
      <c r="A2" s="2" t="s">
        <v>159</v>
      </c>
      <c r="B2" s="2" t="s">
        <v>160</v>
      </c>
      <c r="C2" s="2" t="s">
        <v>161</v>
      </c>
      <c r="D2" s="2" t="s">
        <v>53</v>
      </c>
      <c r="E2" s="3">
        <v>21</v>
      </c>
      <c r="F2" s="3">
        <v>164</v>
      </c>
      <c r="G2" s="3">
        <v>66</v>
      </c>
      <c r="H2" s="3">
        <v>8</v>
      </c>
      <c r="I2" s="3">
        <v>153</v>
      </c>
      <c r="J2" s="3">
        <v>44</v>
      </c>
      <c r="K2" s="3">
        <v>9</v>
      </c>
      <c r="L2" s="3">
        <v>113</v>
      </c>
      <c r="M2" s="3">
        <v>53</v>
      </c>
      <c r="N2" s="3">
        <v>108</v>
      </c>
      <c r="O2" s="3">
        <v>390</v>
      </c>
      <c r="P2" s="3">
        <v>272</v>
      </c>
    </row>
    <row r="3" spans="1:16" ht="30" x14ac:dyDescent="0.25">
      <c r="A3" s="4" t="s">
        <v>159</v>
      </c>
      <c r="B3" s="4" t="s">
        <v>160</v>
      </c>
      <c r="C3" s="4" t="s">
        <v>162</v>
      </c>
      <c r="D3" s="4" t="s">
        <v>55</v>
      </c>
      <c r="E3" s="5"/>
      <c r="F3" s="5">
        <v>68</v>
      </c>
      <c r="G3" s="5"/>
      <c r="H3" s="5"/>
      <c r="I3" s="5">
        <v>38</v>
      </c>
      <c r="J3" s="5"/>
      <c r="K3" s="5"/>
      <c r="L3" s="5">
        <v>40</v>
      </c>
      <c r="M3" s="5"/>
      <c r="N3" s="5"/>
      <c r="O3" s="5">
        <v>57</v>
      </c>
      <c r="P3" s="5">
        <v>293</v>
      </c>
    </row>
    <row r="4" spans="1:16" ht="30" x14ac:dyDescent="0.25">
      <c r="A4" s="2" t="s">
        <v>159</v>
      </c>
      <c r="B4" s="2" t="s">
        <v>160</v>
      </c>
      <c r="C4" s="2" t="s">
        <v>163</v>
      </c>
      <c r="D4" s="2" t="s">
        <v>55</v>
      </c>
      <c r="E4" s="3"/>
      <c r="F4" s="3">
        <v>141</v>
      </c>
      <c r="G4" s="3"/>
      <c r="H4" s="3"/>
      <c r="I4" s="3">
        <v>131</v>
      </c>
      <c r="J4" s="3"/>
      <c r="K4" s="3">
        <v>2</v>
      </c>
      <c r="L4" s="3">
        <v>119</v>
      </c>
      <c r="M4" s="3">
        <v>2</v>
      </c>
      <c r="N4" s="3"/>
      <c r="O4" s="3">
        <v>687</v>
      </c>
      <c r="P4" s="3">
        <v>792</v>
      </c>
    </row>
    <row r="5" spans="1:16" ht="30" x14ac:dyDescent="0.25">
      <c r="A5" s="4" t="s">
        <v>159</v>
      </c>
      <c r="B5" s="4" t="s">
        <v>160</v>
      </c>
      <c r="C5" s="4" t="s">
        <v>164</v>
      </c>
      <c r="D5" s="4" t="s">
        <v>55</v>
      </c>
      <c r="E5" s="5"/>
      <c r="F5" s="5">
        <v>44</v>
      </c>
      <c r="G5" s="5">
        <v>2</v>
      </c>
      <c r="H5" s="5"/>
      <c r="I5" s="5">
        <v>38</v>
      </c>
      <c r="J5" s="5">
        <v>9</v>
      </c>
      <c r="K5" s="5"/>
      <c r="L5" s="5">
        <v>40</v>
      </c>
      <c r="M5" s="5">
        <v>5</v>
      </c>
      <c r="N5" s="5"/>
      <c r="O5" s="5">
        <v>61</v>
      </c>
      <c r="P5" s="5">
        <v>129</v>
      </c>
    </row>
    <row r="6" spans="1:16" ht="30" x14ac:dyDescent="0.25">
      <c r="A6" s="2" t="s">
        <v>159</v>
      </c>
      <c r="B6" s="2" t="s">
        <v>160</v>
      </c>
      <c r="C6" s="2" t="s">
        <v>165</v>
      </c>
      <c r="D6" s="2" t="s">
        <v>55</v>
      </c>
      <c r="E6" s="3"/>
      <c r="F6" s="3">
        <v>74</v>
      </c>
      <c r="G6" s="3">
        <v>6</v>
      </c>
      <c r="H6" s="3"/>
      <c r="I6" s="3">
        <v>99</v>
      </c>
      <c r="J6" s="3">
        <v>4</v>
      </c>
      <c r="K6" s="3"/>
      <c r="L6" s="3">
        <v>104</v>
      </c>
      <c r="M6" s="3">
        <v>2</v>
      </c>
      <c r="N6" s="3"/>
      <c r="O6" s="3">
        <v>28</v>
      </c>
      <c r="P6" s="3">
        <v>30</v>
      </c>
    </row>
    <row r="7" spans="1:16" ht="30" x14ac:dyDescent="0.25">
      <c r="A7" s="4" t="s">
        <v>159</v>
      </c>
      <c r="B7" s="4" t="s">
        <v>160</v>
      </c>
      <c r="C7" s="4" t="s">
        <v>166</v>
      </c>
      <c r="D7" s="4" t="s">
        <v>60</v>
      </c>
      <c r="E7" s="5"/>
      <c r="F7" s="5">
        <v>35</v>
      </c>
      <c r="G7" s="5">
        <v>12</v>
      </c>
      <c r="H7" s="5"/>
      <c r="I7" s="5">
        <v>30</v>
      </c>
      <c r="J7" s="5">
        <v>5</v>
      </c>
      <c r="K7" s="5"/>
      <c r="L7" s="5">
        <v>25</v>
      </c>
      <c r="M7" s="5">
        <v>17</v>
      </c>
      <c r="N7" s="5"/>
      <c r="O7" s="5">
        <v>13</v>
      </c>
      <c r="P7" s="5">
        <v>51</v>
      </c>
    </row>
    <row r="8" spans="1:16" ht="30" x14ac:dyDescent="0.25">
      <c r="A8" s="2" t="s">
        <v>159</v>
      </c>
      <c r="B8" s="2" t="s">
        <v>160</v>
      </c>
      <c r="C8" s="2" t="s">
        <v>167</v>
      </c>
      <c r="D8" s="2" t="s">
        <v>60</v>
      </c>
      <c r="E8" s="3"/>
      <c r="F8" s="3">
        <v>25</v>
      </c>
      <c r="G8" s="3"/>
      <c r="H8" s="3"/>
      <c r="I8" s="3">
        <v>46</v>
      </c>
      <c r="J8" s="3"/>
      <c r="K8" s="3"/>
      <c r="L8" s="3">
        <v>32</v>
      </c>
      <c r="M8" s="3">
        <v>2</v>
      </c>
      <c r="N8" s="3"/>
      <c r="O8" s="3">
        <v>96</v>
      </c>
      <c r="P8" s="3">
        <v>197</v>
      </c>
    </row>
    <row r="9" spans="1:16" ht="30" x14ac:dyDescent="0.25">
      <c r="A9" s="4" t="s">
        <v>159</v>
      </c>
      <c r="B9" s="4" t="s">
        <v>160</v>
      </c>
      <c r="C9" s="4" t="s">
        <v>168</v>
      </c>
      <c r="D9" s="4" t="s">
        <v>60</v>
      </c>
      <c r="E9" s="5"/>
      <c r="F9" s="5">
        <v>4</v>
      </c>
      <c r="G9" s="5"/>
      <c r="H9" s="5"/>
      <c r="I9" s="5">
        <v>4</v>
      </c>
      <c r="J9" s="5"/>
      <c r="K9" s="5"/>
      <c r="L9" s="5">
        <v>8</v>
      </c>
      <c r="M9" s="5"/>
      <c r="N9" s="5"/>
      <c r="O9" s="5">
        <v>16</v>
      </c>
      <c r="P9" s="5">
        <v>62</v>
      </c>
    </row>
    <row r="10" spans="1:16" ht="30" x14ac:dyDescent="0.25">
      <c r="A10" s="2" t="s">
        <v>159</v>
      </c>
      <c r="B10" s="2" t="s">
        <v>160</v>
      </c>
      <c r="C10" s="2" t="s">
        <v>169</v>
      </c>
      <c r="D10" s="2" t="s">
        <v>60</v>
      </c>
      <c r="E10" s="3"/>
      <c r="F10" s="3">
        <v>13</v>
      </c>
      <c r="G10" s="3"/>
      <c r="H10" s="3">
        <v>4</v>
      </c>
      <c r="I10" s="3">
        <v>9</v>
      </c>
      <c r="J10" s="3"/>
      <c r="K10" s="3"/>
      <c r="L10" s="3">
        <v>14</v>
      </c>
      <c r="M10" s="3">
        <v>2</v>
      </c>
      <c r="N10" s="3"/>
      <c r="O10" s="3">
        <v>74</v>
      </c>
      <c r="P10" s="3">
        <v>54</v>
      </c>
    </row>
    <row r="11" spans="1:16" ht="30" x14ac:dyDescent="0.25">
      <c r="A11" s="4" t="s">
        <v>159</v>
      </c>
      <c r="B11" s="4" t="s">
        <v>160</v>
      </c>
      <c r="C11" s="4" t="s">
        <v>170</v>
      </c>
      <c r="D11" s="4" t="s">
        <v>60</v>
      </c>
      <c r="E11" s="5"/>
      <c r="F11" s="5">
        <v>14</v>
      </c>
      <c r="G11" s="5"/>
      <c r="H11" s="5"/>
      <c r="I11" s="5">
        <v>11</v>
      </c>
      <c r="J11" s="5"/>
      <c r="K11" s="5"/>
      <c r="L11" s="5">
        <v>4</v>
      </c>
      <c r="M11" s="5"/>
      <c r="N11" s="5"/>
      <c r="O11" s="5">
        <v>39</v>
      </c>
      <c r="P11" s="5">
        <v>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1"/>
  <sheetViews>
    <sheetView workbookViewId="0">
      <pane ySplit="1" topLeftCell="A2" activePane="bottomLeft" state="frozen"/>
      <selection pane="bottomLeft" activeCell="C13" sqref="C13"/>
    </sheetView>
  </sheetViews>
  <sheetFormatPr baseColWidth="10" defaultColWidth="8.7109375" defaultRowHeight="15" x14ac:dyDescent="0.25"/>
  <cols>
    <col min="1" max="2" width="12" customWidth="1"/>
    <col min="3" max="3" width="49.28515625" customWidth="1"/>
    <col min="4" max="4" width="16.42578125" customWidth="1"/>
    <col min="5" max="5" width="34.140625" customWidth="1"/>
    <col min="6" max="14" width="42.85546875" customWidth="1"/>
    <col min="15" max="16" width="50" customWidth="1"/>
  </cols>
  <sheetData>
    <row r="1" spans="1:16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 ht="24" customHeight="1" x14ac:dyDescent="0.25">
      <c r="A2" s="2" t="s">
        <v>171</v>
      </c>
      <c r="B2" s="2" t="s">
        <v>172</v>
      </c>
      <c r="C2" s="2" t="s">
        <v>173</v>
      </c>
      <c r="D2" s="2" t="s">
        <v>53</v>
      </c>
      <c r="E2" s="3">
        <v>43</v>
      </c>
      <c r="F2" s="3"/>
      <c r="G2" s="3"/>
      <c r="H2" s="3"/>
      <c r="I2" s="3"/>
      <c r="J2" s="3"/>
      <c r="K2" s="3"/>
      <c r="L2" s="3"/>
      <c r="M2" s="3"/>
      <c r="N2" s="3"/>
      <c r="O2" s="3">
        <v>214</v>
      </c>
      <c r="P2" s="3">
        <v>421</v>
      </c>
    </row>
    <row r="3" spans="1:16" ht="24" customHeight="1" x14ac:dyDescent="0.25">
      <c r="A3" s="4" t="s">
        <v>171</v>
      </c>
      <c r="B3" s="4" t="s">
        <v>172</v>
      </c>
      <c r="C3" s="4" t="s">
        <v>174</v>
      </c>
      <c r="D3" s="4" t="s">
        <v>55</v>
      </c>
      <c r="E3" s="5"/>
      <c r="F3" s="5">
        <v>217</v>
      </c>
      <c r="G3" s="5">
        <v>12</v>
      </c>
      <c r="H3" s="5"/>
      <c r="I3" s="5">
        <v>209</v>
      </c>
      <c r="J3" s="5">
        <v>15</v>
      </c>
      <c r="K3" s="5"/>
      <c r="L3" s="5">
        <v>213</v>
      </c>
      <c r="M3" s="5">
        <v>20</v>
      </c>
      <c r="N3" s="5"/>
      <c r="O3" s="5">
        <v>179</v>
      </c>
      <c r="P3" s="5">
        <v>532</v>
      </c>
    </row>
    <row r="4" spans="1:16" ht="24" customHeight="1" x14ac:dyDescent="0.25">
      <c r="A4" s="2" t="s">
        <v>171</v>
      </c>
      <c r="B4" s="2" t="s">
        <v>172</v>
      </c>
      <c r="C4" s="2" t="s">
        <v>175</v>
      </c>
      <c r="D4" s="2" t="s">
        <v>55</v>
      </c>
      <c r="E4" s="3"/>
      <c r="F4" s="3">
        <v>100</v>
      </c>
      <c r="G4" s="3"/>
      <c r="H4" s="3"/>
      <c r="I4" s="3">
        <v>66</v>
      </c>
      <c r="J4" s="3"/>
      <c r="K4" s="3"/>
      <c r="L4" s="3">
        <v>76</v>
      </c>
      <c r="M4" s="3">
        <v>3</v>
      </c>
      <c r="N4" s="3"/>
      <c r="O4" s="3">
        <v>497</v>
      </c>
      <c r="P4" s="3">
        <v>936</v>
      </c>
    </row>
    <row r="5" spans="1:16" ht="24" customHeight="1" x14ac:dyDescent="0.25">
      <c r="A5" s="4" t="s">
        <v>171</v>
      </c>
      <c r="B5" s="4" t="s">
        <v>172</v>
      </c>
      <c r="C5" s="4" t="s">
        <v>176</v>
      </c>
      <c r="D5" s="4" t="s">
        <v>55</v>
      </c>
      <c r="E5" s="5"/>
      <c r="F5" s="5">
        <v>175</v>
      </c>
      <c r="G5" s="5">
        <v>10</v>
      </c>
      <c r="H5" s="5">
        <v>6</v>
      </c>
      <c r="I5" s="5">
        <v>153</v>
      </c>
      <c r="J5" s="5">
        <v>7</v>
      </c>
      <c r="K5" s="5">
        <v>9</v>
      </c>
      <c r="L5" s="5">
        <v>199</v>
      </c>
      <c r="M5" s="5">
        <v>18</v>
      </c>
      <c r="N5" s="5">
        <v>11</v>
      </c>
      <c r="O5" s="5">
        <v>442</v>
      </c>
      <c r="P5" s="5">
        <v>869</v>
      </c>
    </row>
    <row r="6" spans="1:16" ht="24" customHeight="1" x14ac:dyDescent="0.25">
      <c r="A6" s="2" t="s">
        <v>171</v>
      </c>
      <c r="B6" s="2" t="s">
        <v>172</v>
      </c>
      <c r="C6" s="2" t="s">
        <v>177</v>
      </c>
      <c r="D6" s="2" t="s">
        <v>55</v>
      </c>
      <c r="E6" s="3"/>
      <c r="F6" s="3">
        <v>342</v>
      </c>
      <c r="G6" s="3">
        <v>16</v>
      </c>
      <c r="H6" s="3"/>
      <c r="I6" s="3">
        <v>242</v>
      </c>
      <c r="J6" s="3">
        <v>9</v>
      </c>
      <c r="K6" s="3"/>
      <c r="L6" s="3">
        <v>248</v>
      </c>
      <c r="M6" s="3">
        <v>15</v>
      </c>
      <c r="N6" s="3"/>
      <c r="O6" s="3">
        <v>224</v>
      </c>
      <c r="P6" s="3">
        <v>1539</v>
      </c>
    </row>
    <row r="7" spans="1:16" ht="24" customHeight="1" x14ac:dyDescent="0.25">
      <c r="A7" s="4" t="s">
        <v>171</v>
      </c>
      <c r="B7" s="4" t="s">
        <v>172</v>
      </c>
      <c r="C7" s="4" t="s">
        <v>178</v>
      </c>
      <c r="D7" s="4" t="s">
        <v>60</v>
      </c>
      <c r="E7" s="5"/>
      <c r="F7" s="5">
        <v>155</v>
      </c>
      <c r="G7" s="5"/>
      <c r="H7" s="5"/>
      <c r="I7" s="5">
        <v>150</v>
      </c>
      <c r="J7" s="5"/>
      <c r="K7" s="5"/>
      <c r="L7" s="5">
        <v>200</v>
      </c>
      <c r="M7" s="5">
        <v>15</v>
      </c>
      <c r="N7" s="5"/>
      <c r="O7" s="5">
        <v>157</v>
      </c>
      <c r="P7" s="5">
        <v>378</v>
      </c>
    </row>
    <row r="8" spans="1:16" ht="24" customHeight="1" x14ac:dyDescent="0.25">
      <c r="A8" s="2" t="s">
        <v>171</v>
      </c>
      <c r="B8" s="2" t="s">
        <v>172</v>
      </c>
      <c r="C8" s="2" t="s">
        <v>179</v>
      </c>
      <c r="D8" s="2" t="s">
        <v>60</v>
      </c>
      <c r="E8" s="3"/>
      <c r="F8" s="3">
        <v>172</v>
      </c>
      <c r="G8" s="3">
        <v>2</v>
      </c>
      <c r="H8" s="3"/>
      <c r="I8" s="3">
        <v>161</v>
      </c>
      <c r="J8" s="3">
        <v>24</v>
      </c>
      <c r="K8" s="3"/>
      <c r="L8" s="3">
        <v>225</v>
      </c>
      <c r="M8" s="3">
        <v>49</v>
      </c>
      <c r="N8" s="3"/>
      <c r="O8" s="3">
        <v>48</v>
      </c>
      <c r="P8" s="3">
        <v>124</v>
      </c>
    </row>
    <row r="9" spans="1:16" ht="24" customHeight="1" x14ac:dyDescent="0.25">
      <c r="A9" s="4" t="s">
        <v>171</v>
      </c>
      <c r="B9" s="4" t="s">
        <v>172</v>
      </c>
      <c r="C9" s="4" t="s">
        <v>180</v>
      </c>
      <c r="D9" s="4" t="s">
        <v>60</v>
      </c>
      <c r="E9" s="5"/>
      <c r="F9" s="5">
        <v>173</v>
      </c>
      <c r="G9" s="5"/>
      <c r="H9" s="5"/>
      <c r="I9" s="5">
        <v>146</v>
      </c>
      <c r="J9" s="5"/>
      <c r="K9" s="5"/>
      <c r="L9" s="5">
        <v>224</v>
      </c>
      <c r="M9" s="5"/>
      <c r="N9" s="5"/>
      <c r="O9" s="5">
        <v>166</v>
      </c>
      <c r="P9" s="5">
        <v>282</v>
      </c>
    </row>
    <row r="10" spans="1:16" ht="24" customHeight="1" x14ac:dyDescent="0.25">
      <c r="A10" s="2" t="s">
        <v>171</v>
      </c>
      <c r="B10" s="2" t="s">
        <v>172</v>
      </c>
      <c r="C10" s="2" t="s">
        <v>181</v>
      </c>
      <c r="D10" s="2" t="s">
        <v>60</v>
      </c>
      <c r="E10" s="3"/>
      <c r="F10" s="3">
        <v>67</v>
      </c>
      <c r="G10" s="3"/>
      <c r="H10" s="3"/>
      <c r="I10" s="3">
        <v>82</v>
      </c>
      <c r="J10" s="3">
        <v>2</v>
      </c>
      <c r="K10" s="3"/>
      <c r="L10" s="3">
        <v>97</v>
      </c>
      <c r="M10" s="3">
        <v>4</v>
      </c>
      <c r="N10" s="3"/>
      <c r="O10" s="3">
        <v>80</v>
      </c>
      <c r="P10" s="3">
        <v>143</v>
      </c>
    </row>
    <row r="11" spans="1:16" ht="24" customHeight="1" x14ac:dyDescent="0.25">
      <c r="A11" s="4" t="s">
        <v>171</v>
      </c>
      <c r="B11" s="4" t="s">
        <v>172</v>
      </c>
      <c r="C11" s="4" t="s">
        <v>182</v>
      </c>
      <c r="D11" s="4" t="s">
        <v>60</v>
      </c>
      <c r="E11" s="5"/>
      <c r="F11" s="5">
        <v>222</v>
      </c>
      <c r="G11" s="5"/>
      <c r="H11" s="5"/>
      <c r="I11" s="5">
        <v>221</v>
      </c>
      <c r="J11" s="5"/>
      <c r="K11" s="5"/>
      <c r="L11" s="5">
        <v>230</v>
      </c>
      <c r="M11" s="5"/>
      <c r="N11" s="5"/>
      <c r="O11" s="5">
        <v>187</v>
      </c>
      <c r="P11" s="5">
        <v>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1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8.7109375" defaultRowHeight="15" x14ac:dyDescent="0.25"/>
  <cols>
    <col min="1" max="2" width="12" customWidth="1"/>
    <col min="3" max="3" width="38.42578125" customWidth="1"/>
    <col min="4" max="4" width="16.42578125" customWidth="1"/>
    <col min="5" max="5" width="40.42578125" customWidth="1"/>
    <col min="6" max="6" width="34.140625" customWidth="1"/>
    <col min="7" max="15" width="42.85546875" customWidth="1"/>
    <col min="16" max="17" width="50" customWidth="1"/>
  </cols>
  <sheetData>
    <row r="1" spans="1:17" ht="28.15" customHeight="1" x14ac:dyDescent="0.25">
      <c r="A1" s="1" t="s">
        <v>34</v>
      </c>
      <c r="B1" s="1" t="s">
        <v>35</v>
      </c>
      <c r="C1" s="1" t="s">
        <v>36</v>
      </c>
      <c r="D1" s="1" t="s">
        <v>37</v>
      </c>
      <c r="E1" s="1"/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 ht="30" x14ac:dyDescent="0.25">
      <c r="A2" s="2" t="s">
        <v>183</v>
      </c>
      <c r="B2" s="2" t="s">
        <v>184</v>
      </c>
      <c r="C2" s="2" t="s">
        <v>185</v>
      </c>
      <c r="D2" s="2" t="s">
        <v>53</v>
      </c>
      <c r="E2" s="2"/>
      <c r="F2" s="3">
        <v>5</v>
      </c>
      <c r="G2" s="3">
        <v>237</v>
      </c>
      <c r="H2" s="3">
        <v>72</v>
      </c>
      <c r="I2" s="3">
        <v>105</v>
      </c>
      <c r="J2" s="3">
        <v>182</v>
      </c>
      <c r="K2" s="3">
        <v>29</v>
      </c>
      <c r="L2" s="3">
        <v>64</v>
      </c>
      <c r="M2" s="3">
        <v>203</v>
      </c>
      <c r="N2" s="3">
        <v>62</v>
      </c>
      <c r="O2" s="3">
        <v>185</v>
      </c>
      <c r="P2" s="3">
        <v>91</v>
      </c>
      <c r="Q2" s="3">
        <v>676</v>
      </c>
    </row>
    <row r="3" spans="1:17" x14ac:dyDescent="0.25">
      <c r="A3" s="4" t="s">
        <v>183</v>
      </c>
      <c r="B3" s="4" t="s">
        <v>184</v>
      </c>
      <c r="C3" s="4" t="s">
        <v>186</v>
      </c>
      <c r="D3" s="4" t="s">
        <v>55</v>
      </c>
      <c r="E3" s="4"/>
      <c r="F3" s="5"/>
      <c r="G3" s="5">
        <v>62</v>
      </c>
      <c r="H3" s="5"/>
      <c r="I3" s="5"/>
      <c r="J3" s="5">
        <v>47</v>
      </c>
      <c r="K3" s="5">
        <v>1</v>
      </c>
      <c r="L3" s="5">
        <v>10</v>
      </c>
      <c r="M3" s="5">
        <v>36</v>
      </c>
      <c r="N3" s="5">
        <v>3</v>
      </c>
      <c r="O3" s="5">
        <v>6</v>
      </c>
      <c r="P3" s="5">
        <v>24</v>
      </c>
      <c r="Q3" s="5">
        <v>103</v>
      </c>
    </row>
    <row r="4" spans="1:17" x14ac:dyDescent="0.25">
      <c r="A4" s="2" t="s">
        <v>183</v>
      </c>
      <c r="B4" s="2" t="s">
        <v>184</v>
      </c>
      <c r="C4" s="2" t="s">
        <v>187</v>
      </c>
      <c r="D4" s="2" t="s">
        <v>55</v>
      </c>
      <c r="E4" s="2"/>
      <c r="F4" s="3"/>
      <c r="G4" s="3">
        <v>47</v>
      </c>
      <c r="H4" s="3">
        <v>2</v>
      </c>
      <c r="I4" s="3">
        <v>4</v>
      </c>
      <c r="J4" s="3">
        <v>37</v>
      </c>
      <c r="K4" s="3"/>
      <c r="L4" s="3"/>
      <c r="M4" s="3">
        <v>43</v>
      </c>
      <c r="N4" s="3">
        <v>3</v>
      </c>
      <c r="O4" s="3">
        <v>5</v>
      </c>
      <c r="P4" s="3">
        <v>13</v>
      </c>
      <c r="Q4" s="3">
        <v>72</v>
      </c>
    </row>
    <row r="5" spans="1:17" x14ac:dyDescent="0.25">
      <c r="A5" s="4" t="s">
        <v>183</v>
      </c>
      <c r="B5" s="4" t="s">
        <v>184</v>
      </c>
      <c r="C5" s="4" t="s">
        <v>188</v>
      </c>
      <c r="D5" s="4" t="s">
        <v>55</v>
      </c>
      <c r="E5" s="4"/>
      <c r="F5" s="5"/>
      <c r="G5" s="5">
        <v>48</v>
      </c>
      <c r="H5" s="5"/>
      <c r="I5" s="5"/>
      <c r="J5" s="5">
        <v>37</v>
      </c>
      <c r="K5" s="5"/>
      <c r="L5" s="5"/>
      <c r="M5" s="5">
        <v>52</v>
      </c>
      <c r="N5" s="5"/>
      <c r="O5" s="5"/>
      <c r="P5" s="5">
        <v>41</v>
      </c>
      <c r="Q5" s="5">
        <v>86</v>
      </c>
    </row>
    <row r="6" spans="1:17" x14ac:dyDescent="0.25">
      <c r="A6" s="2" t="s">
        <v>183</v>
      </c>
      <c r="B6" s="2" t="s">
        <v>184</v>
      </c>
      <c r="C6" s="2" t="s">
        <v>189</v>
      </c>
      <c r="D6" s="2" t="s">
        <v>60</v>
      </c>
      <c r="E6" s="2"/>
      <c r="F6" s="3"/>
      <c r="G6" s="3">
        <v>37</v>
      </c>
      <c r="H6" s="3"/>
      <c r="I6" s="3"/>
      <c r="J6" s="3">
        <v>24</v>
      </c>
      <c r="K6" s="3"/>
      <c r="L6" s="3"/>
      <c r="M6" s="3">
        <v>16</v>
      </c>
      <c r="N6" s="3"/>
      <c r="O6" s="3"/>
      <c r="P6" s="3">
        <v>21</v>
      </c>
      <c r="Q6" s="3">
        <v>77</v>
      </c>
    </row>
    <row r="7" spans="1:17" x14ac:dyDescent="0.25">
      <c r="A7" s="4" t="s">
        <v>183</v>
      </c>
      <c r="B7" s="4" t="s">
        <v>184</v>
      </c>
      <c r="C7" s="4" t="s">
        <v>190</v>
      </c>
      <c r="D7" s="4" t="s">
        <v>60</v>
      </c>
      <c r="E7" t="s">
        <v>212</v>
      </c>
      <c r="F7" s="5"/>
      <c r="G7" s="5">
        <v>21</v>
      </c>
      <c r="H7" s="5"/>
      <c r="I7" s="5"/>
      <c r="J7" s="5">
        <v>9</v>
      </c>
      <c r="K7" s="5"/>
      <c r="L7" s="5"/>
      <c r="M7" s="5">
        <v>11</v>
      </c>
      <c r="N7" s="5"/>
      <c r="O7" s="5"/>
      <c r="P7" s="5">
        <v>14</v>
      </c>
      <c r="Q7" s="5">
        <v>26</v>
      </c>
    </row>
    <row r="8" spans="1:17" x14ac:dyDescent="0.25">
      <c r="A8" s="2" t="s">
        <v>183</v>
      </c>
      <c r="B8" s="2" t="s">
        <v>184</v>
      </c>
      <c r="C8" s="2" t="s">
        <v>191</v>
      </c>
      <c r="D8" s="2" t="s">
        <v>60</v>
      </c>
      <c r="E8" s="2"/>
      <c r="F8" s="3"/>
      <c r="G8" s="3">
        <v>106</v>
      </c>
      <c r="H8" s="3"/>
      <c r="I8" s="3">
        <v>3</v>
      </c>
      <c r="J8" s="3">
        <v>32</v>
      </c>
      <c r="K8" s="3"/>
      <c r="L8" s="3">
        <v>5</v>
      </c>
      <c r="M8" s="3">
        <v>62</v>
      </c>
      <c r="N8" s="3">
        <v>14</v>
      </c>
      <c r="O8" s="3">
        <v>3</v>
      </c>
      <c r="P8" s="3">
        <v>39</v>
      </c>
      <c r="Q8" s="3">
        <v>113</v>
      </c>
    </row>
    <row r="9" spans="1:17" x14ac:dyDescent="0.25">
      <c r="A9" s="4" t="s">
        <v>183</v>
      </c>
      <c r="B9" s="4" t="s">
        <v>184</v>
      </c>
      <c r="C9" s="4" t="s">
        <v>192</v>
      </c>
      <c r="D9" s="4" t="s">
        <v>60</v>
      </c>
      <c r="E9" s="4"/>
      <c r="F9" s="5"/>
      <c r="G9" s="5">
        <v>45</v>
      </c>
      <c r="H9" s="5"/>
      <c r="I9" s="5"/>
      <c r="J9" s="5">
        <v>27</v>
      </c>
      <c r="K9" s="5"/>
      <c r="L9" s="5"/>
      <c r="M9" s="5">
        <v>9</v>
      </c>
      <c r="N9" s="5"/>
      <c r="O9" s="5"/>
      <c r="P9" s="5">
        <v>245</v>
      </c>
      <c r="Q9" s="5">
        <v>300</v>
      </c>
    </row>
    <row r="10" spans="1:17" ht="30" x14ac:dyDescent="0.25">
      <c r="A10" s="2" t="s">
        <v>183</v>
      </c>
      <c r="B10" s="2" t="s">
        <v>184</v>
      </c>
      <c r="C10" s="2" t="s">
        <v>193</v>
      </c>
      <c r="D10" s="2" t="s">
        <v>60</v>
      </c>
      <c r="E10" s="2"/>
      <c r="F10" s="3"/>
      <c r="G10" s="3">
        <v>33</v>
      </c>
      <c r="H10" s="3"/>
      <c r="I10" s="3"/>
      <c r="J10" s="3">
        <v>23</v>
      </c>
      <c r="K10" s="3"/>
      <c r="L10" s="3"/>
      <c r="M10" s="3">
        <v>23</v>
      </c>
      <c r="N10" s="3"/>
      <c r="O10" s="3"/>
      <c r="P10" s="3">
        <v>17</v>
      </c>
      <c r="Q10" s="3">
        <v>73</v>
      </c>
    </row>
    <row r="11" spans="1:17" x14ac:dyDescent="0.25">
      <c r="A11" s="4" t="s">
        <v>183</v>
      </c>
      <c r="B11" s="4" t="s">
        <v>184</v>
      </c>
      <c r="C11" s="4" t="s">
        <v>194</v>
      </c>
      <c r="D11" s="4" t="s">
        <v>60</v>
      </c>
      <c r="E11" s="4"/>
      <c r="F11" s="5"/>
      <c r="G11" s="5">
        <v>71</v>
      </c>
      <c r="H11" s="5"/>
      <c r="I11" s="5">
        <v>1</v>
      </c>
      <c r="J11" s="5">
        <v>77</v>
      </c>
      <c r="K11" s="5"/>
      <c r="L11" s="5">
        <v>4</v>
      </c>
      <c r="M11" s="5">
        <v>71</v>
      </c>
      <c r="N11" s="5"/>
      <c r="O11" s="5">
        <v>1</v>
      </c>
      <c r="P11" s="5">
        <v>37</v>
      </c>
      <c r="Q11" s="5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Recapitulatif_tirage</vt:lpstr>
      <vt:lpstr>Tirage_Abengourou</vt:lpstr>
      <vt:lpstr>Tirage_Agboville</vt:lpstr>
      <vt:lpstr>Tirage_Yopougon-Ouest Songon</vt:lpstr>
      <vt:lpstr>Tirage_Bondoukou</vt:lpstr>
      <vt:lpstr>Tirage_Mankono</vt:lpstr>
      <vt:lpstr>Tirage_Bouake Nord-Est</vt:lpstr>
      <vt:lpstr>Tirage_Sinematiali</vt:lpstr>
      <vt:lpstr>Tirage_Daloa</vt:lpstr>
      <vt:lpstr>Tirage_Man</vt:lpstr>
      <vt:lpstr>Tirage_Odienne</vt:lpstr>
      <vt:lpstr>Tirage_San Pedro</vt:lpstr>
      <vt:lpstr>Tirage_Tiebissou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KOUAKOU</cp:lastModifiedBy>
  <dcterms:created xsi:type="dcterms:W3CDTF">2026-07-13T21:39:52Z</dcterms:created>
  <dcterms:modified xsi:type="dcterms:W3CDTF">2026-07-27T18:16:59Z</dcterms:modified>
</cp:coreProperties>
</file>